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oneunivers.sharepoint.com/sites/EnOSProductManagerSite/Shared Documents/2024-planning/"/>
    </mc:Choice>
  </mc:AlternateContent>
  <xr:revisionPtr revIDLastSave="60" documentId="13_ncr:1_{801BD533-D5BE-4A51-A825-5E10B2EFDE84}" xr6:coauthVersionLast="47" xr6:coauthVersionMax="47" xr10:uidLastSave="{0C1A6BA3-F94A-4B44-99B6-B1D1AB34E6E5}"/>
  <bookViews>
    <workbookView xWindow="28680" yWindow="-120" windowWidth="29040" windowHeight="15840" tabRatio="485" xr2:uid="{00000000-000D-0000-FFFF-FFFF00000000}"/>
  </bookViews>
  <sheets>
    <sheet name="Product Function Group" sheetId="2" r:id="rId1"/>
    <sheet name="Maintenance VS Roadmap" sheetId="4" r:id="rId2"/>
    <sheet name="Team Members List" sheetId="5" r:id="rId3"/>
  </sheets>
  <definedNames>
    <definedName name="_xlnm._FilterDatabase" localSheetId="2" hidden="1">'Team Members List'!$A$1:$B$1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" l="1"/>
  <c r="L22" i="4"/>
  <c r="L21" i="4"/>
  <c r="L20" i="4"/>
  <c r="H22" i="4"/>
  <c r="H21" i="4"/>
  <c r="N22" i="4"/>
  <c r="J22" i="4"/>
  <c r="N21" i="4"/>
  <c r="N20" i="4"/>
  <c r="J21" i="4"/>
  <c r="J20" i="4"/>
  <c r="L19" i="2"/>
  <c r="H19" i="2"/>
  <c r="AG14" i="4"/>
  <c r="AH14" i="4"/>
  <c r="X14" i="4"/>
  <c r="AG13" i="4"/>
  <c r="AG3" i="4"/>
  <c r="AG4" i="4"/>
  <c r="AG5" i="4"/>
  <c r="AG6" i="4"/>
  <c r="AG7" i="4"/>
  <c r="AG8" i="4"/>
  <c r="AG9" i="4"/>
  <c r="AG10" i="4"/>
  <c r="AG11" i="4"/>
  <c r="AG12" i="4"/>
  <c r="AF14" i="4"/>
  <c r="AE14" i="4"/>
  <c r="AD14" i="4"/>
  <c r="AC14" i="4"/>
  <c r="AB14" i="4"/>
  <c r="AA14" i="4"/>
  <c r="Z14" i="4"/>
  <c r="Y14" i="4"/>
  <c r="K9" i="2"/>
  <c r="J9" i="2"/>
  <c r="M9" i="2"/>
  <c r="L9" i="2"/>
  <c r="J10" i="2" s="1"/>
  <c r="V12" i="4"/>
  <c r="D19" i="2"/>
  <c r="V5" i="4"/>
  <c r="V6" i="4"/>
  <c r="V7" i="4"/>
  <c r="V8" i="4"/>
  <c r="V9" i="4"/>
  <c r="V10" i="4"/>
  <c r="V3" i="4"/>
  <c r="K3" i="4"/>
  <c r="K10" i="4"/>
  <c r="K5" i="4"/>
  <c r="K4" i="4"/>
  <c r="V4" i="4"/>
  <c r="V11" i="4"/>
  <c r="V13" i="4"/>
  <c r="K6" i="4"/>
  <c r="K7" i="4"/>
  <c r="K8" i="4"/>
  <c r="K9" i="4"/>
  <c r="K11" i="4"/>
  <c r="K12" i="4"/>
  <c r="K13" i="4"/>
  <c r="M14" i="4"/>
  <c r="C14" i="4"/>
  <c r="D14" i="4"/>
  <c r="E14" i="4"/>
  <c r="F14" i="4"/>
  <c r="L14" i="4"/>
  <c r="G14" i="4"/>
  <c r="H14" i="4"/>
  <c r="I14" i="4"/>
  <c r="J14" i="4"/>
  <c r="B14" i="4"/>
  <c r="E9" i="2"/>
  <c r="I9" i="2"/>
  <c r="H9" i="2"/>
  <c r="G9" i="2"/>
  <c r="F9" i="2"/>
  <c r="B9" i="2"/>
  <c r="C9" i="2"/>
  <c r="D9" i="2"/>
  <c r="K14" i="4" l="1"/>
  <c r="V14" i="4"/>
  <c r="F10" i="2"/>
  <c r="B10" i="2"/>
  <c r="U14" i="4" l="1"/>
  <c r="P14" i="4"/>
  <c r="O14" i="4"/>
  <c r="T14" i="4"/>
  <c r="W14" i="4"/>
  <c r="N14" i="4"/>
  <c r="Q14" i="4"/>
  <c r="S14" i="4"/>
  <c r="R14" i="4"/>
</calcChain>
</file>

<file path=xl/sharedStrings.xml><?xml version="1.0" encoding="utf-8"?>
<sst xmlns="http://schemas.openxmlformats.org/spreadsheetml/2006/main" count="422" uniqueCount="230">
  <si>
    <t>Type</t>
    <phoneticPr fontId="1" type="noConversion"/>
  </si>
  <si>
    <t>8月 (人月)</t>
    <phoneticPr fontId="1" type="noConversion"/>
  </si>
  <si>
    <t>9月(人月)</t>
    <phoneticPr fontId="1" type="noConversion"/>
  </si>
  <si>
    <t>10月(人月)</t>
    <phoneticPr fontId="1" type="noConversion"/>
  </si>
  <si>
    <t>R&amp;D</t>
    <phoneticPr fontId="1" type="noConversion"/>
  </si>
  <si>
    <t>PM</t>
  </si>
  <si>
    <t>Content&amp;PMO&amp;Marketing</t>
    <phoneticPr fontId="1" type="noConversion"/>
  </si>
  <si>
    <t>UED</t>
    <phoneticPr fontId="1" type="noConversion"/>
  </si>
  <si>
    <t>R&amp;D</t>
  </si>
  <si>
    <t>Foundation (Core)</t>
    <phoneticPr fontId="1" type="noConversion"/>
  </si>
  <si>
    <t>DCM</t>
    <phoneticPr fontId="1" type="noConversion"/>
  </si>
  <si>
    <t>Data</t>
    <phoneticPr fontId="1" type="noConversion"/>
  </si>
  <si>
    <t>CBB</t>
    <phoneticPr fontId="1" type="noConversion"/>
  </si>
  <si>
    <t>AAEP-Innovation Suite</t>
    <phoneticPr fontId="1" type="noConversion"/>
  </si>
  <si>
    <t>2.5 - FE</t>
    <phoneticPr fontId="1" type="noConversion"/>
  </si>
  <si>
    <t>总计</t>
  </si>
  <si>
    <t>说明：</t>
    <phoneticPr fontId="1" type="noConversion"/>
  </si>
  <si>
    <t>1. R&amp;D中不包含SQA</t>
    <phoneticPr fontId="1" type="noConversion"/>
  </si>
  <si>
    <r>
      <t xml:space="preserve">2. </t>
    </r>
    <r>
      <rPr>
        <b/>
        <sz val="10"/>
        <color theme="1"/>
        <rFont val="Microsoft YaHei"/>
        <family val="2"/>
        <charset val="134"/>
      </rPr>
      <t>2.5 - Design&amp;FE</t>
    </r>
    <r>
      <rPr>
        <sz val="10"/>
        <color theme="1"/>
        <rFont val="Microsoft YaHei"/>
        <family val="2"/>
        <charset val="134"/>
      </rPr>
      <t>主要是福成的工时外加FE团队李秋的部分工时，没法安排到某个具体的产品</t>
    </r>
    <phoneticPr fontId="1" type="noConversion"/>
  </si>
  <si>
    <t>3. UED和Content&amp;PMO&amp;Markeing的工时只有total的数据。</t>
    <phoneticPr fontId="1" type="noConversion"/>
  </si>
  <si>
    <t>4. 此处未包括dazhu、allen、eric的工时</t>
    <phoneticPr fontId="1" type="noConversion"/>
  </si>
  <si>
    <t>数据核对1</t>
    <phoneticPr fontId="1" type="noConversion"/>
  </si>
  <si>
    <t>数据核对2</t>
  </si>
  <si>
    <t>Foundation(Core) R&amp;D + Foundation(Core) PM = Core - Maintenance(总计)+Core - Roadmap(总计)+Core - Resource(总计)</t>
    <phoneticPr fontId="1" type="noConversion"/>
  </si>
  <si>
    <t>DCM，Data，CBB同数据核对2逻辑</t>
    <phoneticPr fontId="1" type="noConversion"/>
  </si>
  <si>
    <t>Category</t>
  </si>
  <si>
    <t>8月(人月)</t>
    <phoneticPr fontId="1" type="noConversion"/>
  </si>
  <si>
    <t>DCM团队</t>
  </si>
  <si>
    <t>DS - CN团队</t>
  </si>
  <si>
    <t>DS - SG团队</t>
  </si>
  <si>
    <t>Eric Wang团队</t>
  </si>
  <si>
    <t>FE团队</t>
  </si>
  <si>
    <t>Vivian团队</t>
  </si>
  <si>
    <t>产品团队</t>
  </si>
  <si>
    <t>文纲团队</t>
  </si>
  <si>
    <t>赵宏团队</t>
  </si>
  <si>
    <t>总计</t>
    <phoneticPr fontId="1" type="noConversion"/>
  </si>
  <si>
    <t>Jiangwei团队</t>
  </si>
  <si>
    <t>Core - Maintenance</t>
    <phoneticPr fontId="1" type="noConversion"/>
  </si>
  <si>
    <t>Core - Roadmap</t>
    <phoneticPr fontId="1" type="noConversion"/>
  </si>
  <si>
    <t>Core - Resource</t>
    <phoneticPr fontId="1" type="noConversion"/>
  </si>
  <si>
    <t>DCM - Maintenance</t>
  </si>
  <si>
    <t>DCM - Roadmap</t>
  </si>
  <si>
    <t>Data - Maintenance</t>
  </si>
  <si>
    <t>Data - Roadmap</t>
  </si>
  <si>
    <t>Data - Resource</t>
    <phoneticPr fontId="1" type="noConversion"/>
  </si>
  <si>
    <t>CBB - Maintenance</t>
  </si>
  <si>
    <t>CBB - Roadmap</t>
  </si>
  <si>
    <t>Others (including project support, leave of absence, overall marketing and release, etc.)</t>
    <phoneticPr fontId="1" type="noConversion"/>
  </si>
  <si>
    <t>1. 表头对应的各个团队的成员，见【Team Members List】</t>
    <phoneticPr fontId="1" type="noConversion"/>
  </si>
  <si>
    <t>Core</t>
    <phoneticPr fontId="1" type="noConversion"/>
  </si>
  <si>
    <t xml:space="preserve">Data </t>
    <phoneticPr fontId="1" type="noConversion"/>
  </si>
  <si>
    <t>隶属团队</t>
    <phoneticPr fontId="1" type="noConversion"/>
  </si>
  <si>
    <t>姓名</t>
  </si>
  <si>
    <t>备注</t>
    <phoneticPr fontId="1" type="noConversion"/>
  </si>
  <si>
    <t>文纲团队</t>
    <phoneticPr fontId="1" type="noConversion"/>
  </si>
  <si>
    <t>张桐高</t>
  </si>
  <si>
    <t>杨璐</t>
  </si>
  <si>
    <t>任秋凝</t>
  </si>
  <si>
    <t>高源</t>
  </si>
  <si>
    <t>王广瑞</t>
  </si>
  <si>
    <t>杨浩杰</t>
  </si>
  <si>
    <t>731离职</t>
    <phoneticPr fontId="1" type="noConversion"/>
  </si>
  <si>
    <t>冯永帅</t>
  </si>
  <si>
    <t>朱海峰</t>
  </si>
  <si>
    <t>王志猛</t>
  </si>
  <si>
    <t>代从杰</t>
  </si>
  <si>
    <t>陈自然</t>
  </si>
  <si>
    <t>唐作用</t>
  </si>
  <si>
    <t>单宏杰</t>
  </si>
  <si>
    <t>秦洁</t>
  </si>
  <si>
    <t>郑晓鸽</t>
  </si>
  <si>
    <t>余云跃</t>
  </si>
  <si>
    <t>胡文纲</t>
  </si>
  <si>
    <t>产品团队</t>
    <phoneticPr fontId="1" type="noConversion"/>
  </si>
  <si>
    <t>李颖</t>
  </si>
  <si>
    <t>徐振双</t>
  </si>
  <si>
    <t>刘朝悦</t>
  </si>
  <si>
    <t>吴思</t>
  </si>
  <si>
    <t>杨依蓓</t>
  </si>
  <si>
    <t>罗骞</t>
  </si>
  <si>
    <t>洪烨</t>
  </si>
  <si>
    <t>黄月琴</t>
  </si>
  <si>
    <t>李桃</t>
  </si>
  <si>
    <t>周家波</t>
  </si>
  <si>
    <t>郭志远</t>
  </si>
  <si>
    <t>张婕</t>
  </si>
  <si>
    <t>徐伟</t>
  </si>
  <si>
    <t>Yeung Chun Yim Chervin</t>
  </si>
  <si>
    <t>Xu Menglan</t>
  </si>
  <si>
    <t>Zhou Jin</t>
  </si>
  <si>
    <t>陆文进</t>
  </si>
  <si>
    <t>周莉</t>
  </si>
  <si>
    <t>汤大祝</t>
  </si>
  <si>
    <t>Zhang Zhaoxia Rosie</t>
  </si>
  <si>
    <t xml:space="preserve">Hung Tze Kit </t>
  </si>
  <si>
    <t>Hu Nan</t>
  </si>
  <si>
    <t>FE团队</t>
    <phoneticPr fontId="1" type="noConversion"/>
  </si>
  <si>
    <t>郑群力</t>
  </si>
  <si>
    <t>张宇涵</t>
  </si>
  <si>
    <t>李秋</t>
  </si>
  <si>
    <t>谢卫斌</t>
  </si>
  <si>
    <t>常原海</t>
  </si>
  <si>
    <t>胡佳慧</t>
  </si>
  <si>
    <t>朱雪婷</t>
  </si>
  <si>
    <t>朱云鹤</t>
  </si>
  <si>
    <t>张继东</t>
  </si>
  <si>
    <t>徐骏</t>
  </si>
  <si>
    <t>路若洲</t>
  </si>
  <si>
    <t>刘春杰</t>
  </si>
  <si>
    <t>唐莞峰</t>
  </si>
  <si>
    <t>郭旭峰</t>
  </si>
  <si>
    <t>傅诗哲</t>
  </si>
  <si>
    <t>史元君</t>
  </si>
  <si>
    <t>吴福城</t>
  </si>
  <si>
    <t>DCM团队</t>
    <phoneticPr fontId="1" type="noConversion"/>
  </si>
  <si>
    <t>梁喆</t>
  </si>
  <si>
    <t>徐松</t>
  </si>
  <si>
    <t>谭梦源</t>
  </si>
  <si>
    <t>高志俊</t>
  </si>
  <si>
    <t>Yang Shihao</t>
  </si>
  <si>
    <t>7.31离职</t>
    <phoneticPr fontId="1" type="noConversion"/>
  </si>
  <si>
    <t>Li Junjie Cowper</t>
  </si>
  <si>
    <t>Wu Zhonghua</t>
  </si>
  <si>
    <t>Wei Zhiwei</t>
  </si>
  <si>
    <t>Yang Sida</t>
  </si>
  <si>
    <t xml:space="preserve">Vyshak Chandra Gupta </t>
  </si>
  <si>
    <t>Ang Wei Lun</t>
  </si>
  <si>
    <t>Wang Ming</t>
  </si>
  <si>
    <t>Zhao Chuanyun</t>
  </si>
  <si>
    <t>Wang Shuwei</t>
  </si>
  <si>
    <t>Jimmy Mi</t>
    <phoneticPr fontId="1" type="noConversion"/>
  </si>
  <si>
    <t>Shen Jieyuan</t>
  </si>
  <si>
    <t>DS - CN团队</t>
    <phoneticPr fontId="1" type="noConversion"/>
  </si>
  <si>
    <t>陈赋睿</t>
  </si>
  <si>
    <t>王丁平</t>
  </si>
  <si>
    <t>郑凯</t>
  </si>
  <si>
    <t>吕何</t>
  </si>
  <si>
    <t>熊峰</t>
  </si>
  <si>
    <t>李田田</t>
  </si>
  <si>
    <t>杨镇宁</t>
  </si>
  <si>
    <t>贾项南</t>
  </si>
  <si>
    <t>黄思琪</t>
  </si>
  <si>
    <t>干瑞</t>
  </si>
  <si>
    <t>侯军</t>
  </si>
  <si>
    <t>李赟</t>
  </si>
  <si>
    <t>DS - SG团队</t>
    <phoneticPr fontId="1" type="noConversion"/>
  </si>
  <si>
    <t>Hu Weilin</t>
  </si>
  <si>
    <t>Liu Xin</t>
  </si>
  <si>
    <t>Tee Yong Xiang Kevin</t>
  </si>
  <si>
    <t>Tan Bin Ming</t>
  </si>
  <si>
    <t>Li Huimin</t>
  </si>
  <si>
    <t>Lu Ye</t>
  </si>
  <si>
    <t>Lin Miao</t>
  </si>
  <si>
    <t>赵宏团队</t>
    <phoneticPr fontId="1" type="noConversion"/>
  </si>
  <si>
    <t>江齐</t>
  </si>
  <si>
    <t>刘冠承</t>
  </si>
  <si>
    <t>余秋雨</t>
  </si>
  <si>
    <t>刘晓林</t>
  </si>
  <si>
    <t>钟振瑜</t>
  </si>
  <si>
    <t>杨清清</t>
  </si>
  <si>
    <t>李祥鑫</t>
  </si>
  <si>
    <t>傅煦嘉</t>
  </si>
  <si>
    <t>潘科</t>
  </si>
  <si>
    <t>袁根</t>
  </si>
  <si>
    <t>毕强</t>
  </si>
  <si>
    <t>吴向东</t>
  </si>
  <si>
    <t>操文瑞</t>
  </si>
  <si>
    <t>刘有为</t>
  </si>
  <si>
    <t>丁高瞻</t>
  </si>
  <si>
    <t>李怡晨</t>
  </si>
  <si>
    <t>孟德鑫</t>
  </si>
  <si>
    <t>刘芳君</t>
  </si>
  <si>
    <t>邱立松</t>
  </si>
  <si>
    <t>宦传建</t>
  </si>
  <si>
    <t>赵京辉</t>
  </si>
  <si>
    <t>王伟</t>
  </si>
  <si>
    <t>胡欣球</t>
  </si>
  <si>
    <t>卞国辉</t>
  </si>
  <si>
    <t>马文韬</t>
  </si>
  <si>
    <t>袁聚懋</t>
  </si>
  <si>
    <t>马克斌</t>
  </si>
  <si>
    <t>赵志良</t>
  </si>
  <si>
    <t>陈冠辉</t>
  </si>
  <si>
    <t>雷力</t>
  </si>
  <si>
    <t>黄文</t>
  </si>
  <si>
    <t>王强</t>
  </si>
  <si>
    <t>沈文俊</t>
  </si>
  <si>
    <t>杨红兵</t>
  </si>
  <si>
    <t>许景楠</t>
  </si>
  <si>
    <t>陈小梦</t>
  </si>
  <si>
    <t>赵明</t>
  </si>
  <si>
    <t>赵宏</t>
    <phoneticPr fontId="1" type="noConversion"/>
  </si>
  <si>
    <t>Vivian团队</t>
    <phoneticPr fontId="1" type="noConversion"/>
  </si>
  <si>
    <t>胡清莹</t>
  </si>
  <si>
    <t>彭璇</t>
  </si>
  <si>
    <t>张雪</t>
    <phoneticPr fontId="1" type="noConversion"/>
  </si>
  <si>
    <t>徐翰卿</t>
  </si>
  <si>
    <t>徐瑞</t>
  </si>
  <si>
    <t>吕晓晖</t>
  </si>
  <si>
    <t>张雨洁</t>
  </si>
  <si>
    <t>武琴雅</t>
  </si>
  <si>
    <t>殷瑶</t>
  </si>
  <si>
    <t>夏云</t>
  </si>
  <si>
    <t>831离职</t>
    <phoneticPr fontId="1" type="noConversion"/>
  </si>
  <si>
    <t>严晓婷</t>
  </si>
  <si>
    <t>Tang Ying Shi</t>
  </si>
  <si>
    <t>Wang Zhiying</t>
  </si>
  <si>
    <t>Yang Wenwen Vivian</t>
  </si>
  <si>
    <t>Jiangwei团队</t>
    <phoneticPr fontId="1" type="noConversion"/>
  </si>
  <si>
    <t>张江伟</t>
    <phoneticPr fontId="1" type="noConversion"/>
  </si>
  <si>
    <t>陈剑沫</t>
  </si>
  <si>
    <t>李慧</t>
  </si>
  <si>
    <t>李慧璠</t>
  </si>
  <si>
    <t>励颖琦</t>
  </si>
  <si>
    <t>刘伟</t>
  </si>
  <si>
    <t>吕振</t>
  </si>
  <si>
    <t>施昌林</t>
  </si>
  <si>
    <t>孙美霞</t>
  </si>
  <si>
    <t>熊洲</t>
  </si>
  <si>
    <t>韩文明</t>
  </si>
  <si>
    <t>王坤</t>
  </si>
  <si>
    <t>王银敏</t>
  </si>
  <si>
    <t>魏双</t>
  </si>
  <si>
    <t>周苏</t>
  </si>
  <si>
    <t>吴明豪</t>
  </si>
  <si>
    <t>张玥</t>
  </si>
  <si>
    <t>石佳豪</t>
  </si>
  <si>
    <t>陈俊</t>
  </si>
  <si>
    <t>谭淇蔚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</si>
</sst>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0"/>
      <color theme="1"/>
      <name val="等线"/>
      <family val="2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Microsoft YaHei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theme="0"/>
      <name val="Microsoft YaHei"/>
      <family val="2"/>
      <charset val="134"/>
    </font>
    <font>
      <b/>
      <sz val="10"/>
      <color theme="1"/>
      <name val="Microsoft YaHei"/>
      <family val="2"/>
      <charset val="134"/>
    </font>
    <font>
      <b/>
      <sz val="10"/>
      <color rgb="FFC00000"/>
      <name val="Microsoft YaHei"/>
      <family val="2"/>
      <charset val="134"/>
    </font>
    <font>
      <b/>
      <sz val="10"/>
      <color rgb="FF0070C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C00000"/>
      <name val="等线"/>
      <family val="2"/>
      <scheme val="minor"/>
    </font>
    <font>
      <b/>
      <sz val="10"/>
      <color rgb="FFFF0000"/>
      <name val="Microsoft YaHei"/>
      <family val="2"/>
      <charset val="134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/>
    <xf numFmtId="176" fontId="5" fillId="0" borderId="8" xfId="0" applyNumberFormat="1" applyFont="1" applyBorder="1"/>
    <xf numFmtId="176" fontId="5" fillId="0" borderId="1" xfId="0" applyNumberFormat="1" applyFont="1" applyBorder="1"/>
    <xf numFmtId="176" fontId="5" fillId="4" borderId="8" xfId="0" applyNumberFormat="1" applyFont="1" applyFill="1" applyBorder="1"/>
    <xf numFmtId="176" fontId="5" fillId="4" borderId="1" xfId="0" applyNumberFormat="1" applyFont="1" applyFill="1" applyBorder="1"/>
    <xf numFmtId="176" fontId="4" fillId="3" borderId="13" xfId="0" applyNumberFormat="1" applyFont="1" applyFill="1" applyBorder="1"/>
    <xf numFmtId="176" fontId="4" fillId="3" borderId="14" xfId="0" applyNumberFormat="1" applyFont="1" applyFill="1" applyBorder="1"/>
    <xf numFmtId="0" fontId="6" fillId="0" borderId="0" xfId="0" applyFont="1"/>
    <xf numFmtId="0" fontId="7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24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0" fillId="0" borderId="17" xfId="0" applyFont="1" applyBorder="1"/>
    <xf numFmtId="176" fontId="6" fillId="0" borderId="8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10" fillId="3" borderId="19" xfId="0" applyNumberFormat="1" applyFont="1" applyFill="1" applyBorder="1" applyAlignment="1">
      <alignment horizontal="center" vertical="center"/>
    </xf>
    <xf numFmtId="176" fontId="10" fillId="3" borderId="20" xfId="0" applyNumberFormat="1" applyFont="1" applyFill="1" applyBorder="1" applyAlignment="1">
      <alignment horizontal="center" vertical="center"/>
    </xf>
    <xf numFmtId="176" fontId="10" fillId="3" borderId="21" xfId="0" applyNumberFormat="1" applyFont="1" applyFill="1" applyBorder="1" applyAlignment="1">
      <alignment horizontal="center" vertical="center"/>
    </xf>
    <xf numFmtId="176" fontId="3" fillId="0" borderId="0" xfId="0" applyNumberFormat="1" applyFont="1"/>
    <xf numFmtId="0" fontId="4" fillId="0" borderId="27" xfId="0" applyFont="1" applyBorder="1"/>
    <xf numFmtId="0" fontId="4" fillId="4" borderId="27" xfId="0" applyFont="1" applyFill="1" applyBorder="1"/>
    <xf numFmtId="0" fontId="4" fillId="3" borderId="28" xfId="0" applyFont="1" applyFill="1" applyBorder="1"/>
    <xf numFmtId="176" fontId="12" fillId="0" borderId="9" xfId="0" applyNumberFormat="1" applyFont="1" applyBorder="1"/>
    <xf numFmtId="176" fontId="12" fillId="4" borderId="9" xfId="0" applyNumberFormat="1" applyFont="1" applyFill="1" applyBorder="1"/>
    <xf numFmtId="0" fontId="2" fillId="2" borderId="19" xfId="0" applyFont="1" applyFill="1" applyBorder="1"/>
    <xf numFmtId="0" fontId="2" fillId="2" borderId="20" xfId="0" applyFont="1" applyFill="1" applyBorder="1"/>
    <xf numFmtId="0" fontId="2" fillId="2" borderId="21" xfId="0" applyFont="1" applyFill="1" applyBorder="1"/>
    <xf numFmtId="176" fontId="4" fillId="3" borderId="15" xfId="0" applyNumberFormat="1" applyFont="1" applyFill="1" applyBorder="1"/>
    <xf numFmtId="0" fontId="2" fillId="2" borderId="16" xfId="0" applyFont="1" applyFill="1" applyBorder="1"/>
    <xf numFmtId="176" fontId="5" fillId="6" borderId="17" xfId="0" applyNumberFormat="1" applyFont="1" applyFill="1" applyBorder="1"/>
    <xf numFmtId="176" fontId="4" fillId="6" borderId="18" xfId="0" applyNumberFormat="1" applyFont="1" applyFill="1" applyBorder="1"/>
    <xf numFmtId="0" fontId="11" fillId="0" borderId="22" xfId="0" applyFont="1" applyBorder="1"/>
    <xf numFmtId="176" fontId="11" fillId="0" borderId="23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  <xf numFmtId="0" fontId="10" fillId="4" borderId="17" xfId="0" applyFont="1" applyFill="1" applyBorder="1"/>
    <xf numFmtId="176" fontId="6" fillId="4" borderId="8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176" fontId="13" fillId="0" borderId="0" xfId="0" applyNumberFormat="1" applyFont="1"/>
    <xf numFmtId="176" fontId="14" fillId="0" borderId="0" xfId="0" applyNumberFormat="1" applyFont="1"/>
    <xf numFmtId="0" fontId="15" fillId="0" borderId="0" xfId="0" applyFont="1"/>
    <xf numFmtId="176" fontId="16" fillId="4" borderId="8" xfId="0" applyNumberFormat="1" applyFont="1" applyFill="1" applyBorder="1" applyAlignment="1">
      <alignment horizontal="center" vertical="center"/>
    </xf>
    <xf numFmtId="10" fontId="17" fillId="0" borderId="0" xfId="0" applyNumberFormat="1" applyFont="1"/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76" fontId="6" fillId="6" borderId="10" xfId="0" applyNumberFormat="1" applyFont="1" applyFill="1" applyBorder="1" applyAlignment="1">
      <alignment horizontal="center" vertical="center"/>
    </xf>
    <xf numFmtId="176" fontId="6" fillId="6" borderId="11" xfId="0" applyNumberFormat="1" applyFont="1" applyFill="1" applyBorder="1" applyAlignment="1">
      <alignment horizontal="center" vertical="center"/>
    </xf>
    <xf numFmtId="176" fontId="6" fillId="6" borderId="12" xfId="0" applyNumberFormat="1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176" fontId="10" fillId="3" borderId="13" xfId="0" applyNumberFormat="1" applyFont="1" applyFill="1" applyBorder="1" applyAlignment="1">
      <alignment horizontal="center" vertical="center"/>
    </xf>
    <xf numFmtId="176" fontId="10" fillId="3" borderId="14" xfId="0" applyNumberFormat="1" applyFont="1" applyFill="1" applyBorder="1" applyAlignment="1">
      <alignment horizontal="center" vertical="center"/>
    </xf>
    <xf numFmtId="176" fontId="10" fillId="3" borderId="15" xfId="0" applyNumberFormat="1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BCFB-5226-47EE-BD8F-8C6EAC2BEBDF}">
  <dimension ref="A1:M25"/>
  <sheetViews>
    <sheetView tabSelected="1" workbookViewId="0">
      <pane xSplit="1" topLeftCell="B1" activePane="topRight" state="frozen"/>
      <selection pane="topRight" activeCell="H19" sqref="H19"/>
    </sheetView>
  </sheetViews>
  <sheetFormatPr defaultColWidth="8.875" defaultRowHeight="12.75"/>
  <cols>
    <col min="1" max="1" width="27.875" style="1" customWidth="1"/>
    <col min="2" max="2" width="10.875" style="1" customWidth="1"/>
    <col min="3" max="3" width="10" style="1" customWidth="1"/>
    <col min="4" max="4" width="28.625" style="1" customWidth="1"/>
    <col min="5" max="5" width="13.125" style="1" customWidth="1"/>
    <col min="6" max="6" width="10.875" style="1" customWidth="1"/>
    <col min="7" max="7" width="7.75" style="1" bestFit="1" customWidth="1"/>
    <col min="8" max="8" width="28.625" style="1" customWidth="1"/>
    <col min="9" max="9" width="13.125" style="1" customWidth="1"/>
    <col min="10" max="10" width="11.5" style="1" customWidth="1"/>
    <col min="11" max="11" width="10.125" style="1" customWidth="1"/>
    <col min="12" max="12" width="28.5" style="1" bestFit="1" customWidth="1"/>
    <col min="13" max="16384" width="8.875" style="1"/>
  </cols>
  <sheetData>
    <row r="1" spans="1:13" ht="18.600000000000001" customHeight="1">
      <c r="A1" s="50" t="s">
        <v>0</v>
      </c>
      <c r="B1" s="52" t="s">
        <v>1</v>
      </c>
      <c r="C1" s="53"/>
      <c r="D1" s="53"/>
      <c r="E1" s="54"/>
      <c r="F1" s="52" t="s">
        <v>2</v>
      </c>
      <c r="G1" s="53"/>
      <c r="H1" s="53"/>
      <c r="I1" s="54"/>
      <c r="J1" s="52" t="s">
        <v>3</v>
      </c>
      <c r="K1" s="53"/>
      <c r="L1" s="53"/>
      <c r="M1" s="54"/>
    </row>
    <row r="2" spans="1:13" ht="19.149999999999999" customHeight="1">
      <c r="A2" s="51"/>
      <c r="B2" s="16" t="s">
        <v>4</v>
      </c>
      <c r="C2" s="17" t="s">
        <v>5</v>
      </c>
      <c r="D2" s="17" t="s">
        <v>6</v>
      </c>
      <c r="E2" s="18" t="s">
        <v>7</v>
      </c>
      <c r="F2" s="16" t="s">
        <v>8</v>
      </c>
      <c r="G2" s="17" t="s">
        <v>5</v>
      </c>
      <c r="H2" s="17" t="s">
        <v>6</v>
      </c>
      <c r="I2" s="18" t="s">
        <v>7</v>
      </c>
      <c r="J2" s="16" t="s">
        <v>8</v>
      </c>
      <c r="K2" s="17" t="s">
        <v>5</v>
      </c>
      <c r="L2" s="17" t="s">
        <v>6</v>
      </c>
      <c r="M2" s="18" t="s">
        <v>7</v>
      </c>
    </row>
    <row r="3" spans="1:13" ht="16.5">
      <c r="A3" s="42" t="s">
        <v>9</v>
      </c>
      <c r="B3" s="43">
        <v>11.869565217391299</v>
      </c>
      <c r="C3" s="44">
        <v>2.2173913043478266</v>
      </c>
      <c r="D3" s="58">
        <v>7.42</v>
      </c>
      <c r="E3" s="55">
        <v>6</v>
      </c>
      <c r="F3" s="43">
        <v>13.857142857142836</v>
      </c>
      <c r="G3" s="44">
        <v>2.1880952380952383</v>
      </c>
      <c r="H3" s="58">
        <v>6.94</v>
      </c>
      <c r="I3" s="55">
        <v>6</v>
      </c>
      <c r="J3" s="43">
        <v>14.527777777777771</v>
      </c>
      <c r="K3" s="44">
        <v>2.0757575757575757</v>
      </c>
      <c r="L3" s="58">
        <v>8.5500000000000007</v>
      </c>
      <c r="M3" s="55">
        <v>6</v>
      </c>
    </row>
    <row r="4" spans="1:13" ht="16.5">
      <c r="A4" s="42" t="s">
        <v>10</v>
      </c>
      <c r="B4" s="43">
        <v>10.665019762845846</v>
      </c>
      <c r="C4" s="44">
        <v>3.7173913043478266</v>
      </c>
      <c r="D4" s="59"/>
      <c r="E4" s="56"/>
      <c r="F4" s="43">
        <v>10.516666666666664</v>
      </c>
      <c r="G4" s="44">
        <v>3.8023809523809522</v>
      </c>
      <c r="H4" s="59"/>
      <c r="I4" s="56"/>
      <c r="J4" s="43">
        <v>10.419191919191919</v>
      </c>
      <c r="K4" s="44">
        <v>3.5820707070707067</v>
      </c>
      <c r="L4" s="59"/>
      <c r="M4" s="56"/>
    </row>
    <row r="5" spans="1:13" ht="16.5">
      <c r="A5" s="42" t="s">
        <v>11</v>
      </c>
      <c r="B5" s="43">
        <v>11.347826086956523</v>
      </c>
      <c r="C5" s="44">
        <v>2.7173913043478262</v>
      </c>
      <c r="D5" s="59"/>
      <c r="E5" s="56"/>
      <c r="F5" s="43">
        <v>9.6428571428571352</v>
      </c>
      <c r="G5" s="44">
        <v>2.5238095238095237</v>
      </c>
      <c r="H5" s="59"/>
      <c r="I5" s="56"/>
      <c r="J5" s="43">
        <v>10.194444444444443</v>
      </c>
      <c r="K5" s="44">
        <v>2.7638888888888888</v>
      </c>
      <c r="L5" s="59"/>
      <c r="M5" s="56"/>
    </row>
    <row r="6" spans="1:13" ht="16.5">
      <c r="A6" s="42" t="s">
        <v>12</v>
      </c>
      <c r="B6" s="43">
        <v>31.717391304347728</v>
      </c>
      <c r="C6" s="44">
        <v>10.043478260869566</v>
      </c>
      <c r="D6" s="59"/>
      <c r="E6" s="56"/>
      <c r="F6" s="48">
        <v>33.190476190476097</v>
      </c>
      <c r="G6" s="44">
        <v>10.085714285714278</v>
      </c>
      <c r="H6" s="59"/>
      <c r="I6" s="56"/>
      <c r="J6" s="43">
        <v>31.482323232323235</v>
      </c>
      <c r="K6" s="44">
        <v>9.2708333333333304</v>
      </c>
      <c r="L6" s="59"/>
      <c r="M6" s="56"/>
    </row>
    <row r="7" spans="1:13" ht="16.5">
      <c r="A7" s="19" t="s">
        <v>13</v>
      </c>
      <c r="B7" s="20">
        <v>7.0869565217391308</v>
      </c>
      <c r="C7" s="21"/>
      <c r="D7" s="60"/>
      <c r="E7" s="57"/>
      <c r="F7" s="20">
        <v>6.4285714285714279</v>
      </c>
      <c r="G7" s="21"/>
      <c r="H7" s="60"/>
      <c r="I7" s="57"/>
      <c r="J7" s="20">
        <v>3.9444444444444442</v>
      </c>
      <c r="K7" s="21"/>
      <c r="L7" s="60"/>
      <c r="M7" s="57"/>
    </row>
    <row r="8" spans="1:13" ht="17.25" thickBot="1">
      <c r="A8" s="38" t="s">
        <v>14</v>
      </c>
      <c r="B8" s="39">
        <v>1</v>
      </c>
      <c r="C8" s="40"/>
      <c r="D8" s="40"/>
      <c r="E8" s="41"/>
      <c r="F8" s="39">
        <v>1.4761904761904763</v>
      </c>
      <c r="G8" s="40"/>
      <c r="H8" s="40"/>
      <c r="I8" s="41"/>
      <c r="J8" s="39">
        <v>1.2222222222222223</v>
      </c>
      <c r="K8" s="40"/>
      <c r="L8" s="40"/>
      <c r="M8" s="41"/>
    </row>
    <row r="9" spans="1:13" ht="16.5">
      <c r="A9" s="61" t="s">
        <v>15</v>
      </c>
      <c r="B9" s="22">
        <f t="shared" ref="B9:I9" si="0">SUM(B3:B8)</f>
        <v>73.686758893280526</v>
      </c>
      <c r="C9" s="23">
        <f t="shared" si="0"/>
        <v>18.695652173913047</v>
      </c>
      <c r="D9" s="23">
        <f t="shared" si="0"/>
        <v>7.42</v>
      </c>
      <c r="E9" s="24">
        <f t="shared" si="0"/>
        <v>6</v>
      </c>
      <c r="F9" s="22">
        <f t="shared" si="0"/>
        <v>75.111904761904654</v>
      </c>
      <c r="G9" s="23">
        <f t="shared" si="0"/>
        <v>18.599999999999994</v>
      </c>
      <c r="H9" s="23">
        <f t="shared" si="0"/>
        <v>6.94</v>
      </c>
      <c r="I9" s="24">
        <f t="shared" si="0"/>
        <v>6</v>
      </c>
      <c r="J9" s="22">
        <f>SUM(J3:J8)</f>
        <v>71.790404040404042</v>
      </c>
      <c r="K9" s="23">
        <f>SUM(K3:K8)</f>
        <v>17.692550505050502</v>
      </c>
      <c r="L9" s="23">
        <f t="shared" ref="L9:M9" si="1">SUM(L3:L8)</f>
        <v>8.5500000000000007</v>
      </c>
      <c r="M9" s="24">
        <f t="shared" si="1"/>
        <v>6</v>
      </c>
    </row>
    <row r="10" spans="1:13" ht="17.25" thickBot="1">
      <c r="A10" s="62"/>
      <c r="B10" s="63">
        <f>SUM(B9:E9)</f>
        <v>105.80241106719357</v>
      </c>
      <c r="C10" s="64"/>
      <c r="D10" s="64"/>
      <c r="E10" s="65"/>
      <c r="F10" s="63">
        <f>SUM(F9:I9)</f>
        <v>106.65190476190465</v>
      </c>
      <c r="G10" s="64"/>
      <c r="H10" s="64"/>
      <c r="I10" s="65"/>
      <c r="J10" s="63">
        <f>SUM(J9:M9)</f>
        <v>104.03295454545454</v>
      </c>
      <c r="K10" s="64"/>
      <c r="L10" s="64"/>
      <c r="M10" s="65"/>
    </row>
    <row r="13" spans="1:13" ht="16.5">
      <c r="A13" s="8" t="s">
        <v>16</v>
      </c>
    </row>
    <row r="14" spans="1:13" ht="16.5">
      <c r="A14" s="8" t="s">
        <v>17</v>
      </c>
    </row>
    <row r="15" spans="1:13" ht="16.5">
      <c r="A15" s="8" t="s">
        <v>18</v>
      </c>
    </row>
    <row r="16" spans="1:13" ht="16.5">
      <c r="A16" s="8" t="s">
        <v>19</v>
      </c>
    </row>
    <row r="17" spans="1:12" ht="16.5">
      <c r="A17" s="8" t="s">
        <v>20</v>
      </c>
    </row>
    <row r="19" spans="1:12" ht="16.5">
      <c r="C19" s="45" t="s">
        <v>21</v>
      </c>
      <c r="D19" s="46">
        <f>B10+'Maintenance VS Roadmap'!K13-D3-E3-B8-B7</f>
        <v>138.01426877470348</v>
      </c>
      <c r="E19" s="47"/>
      <c r="F19" s="47"/>
      <c r="G19" s="47"/>
      <c r="H19" s="46">
        <f>F10+'Maintenance VS Roadmap'!V13-H3-I3-F8-F7</f>
        <v>133.38571428571419</v>
      </c>
      <c r="L19" s="46">
        <f>J10+'Maintenance VS Roadmap'!AG13-L3-M3-J8-J7</f>
        <v>132.4444444444444</v>
      </c>
    </row>
    <row r="20" spans="1:12" ht="16.5">
      <c r="C20" s="45" t="s">
        <v>22</v>
      </c>
      <c r="D20" s="46" t="s">
        <v>23</v>
      </c>
      <c r="H20" s="25"/>
      <c r="I20" s="25"/>
      <c r="J20" s="25"/>
      <c r="K20" s="25"/>
    </row>
    <row r="21" spans="1:12" ht="16.5">
      <c r="D21" s="46" t="s">
        <v>24</v>
      </c>
      <c r="H21" s="25"/>
      <c r="I21" s="25"/>
      <c r="J21" s="25"/>
      <c r="K21" s="25"/>
    </row>
    <row r="22" spans="1:12">
      <c r="H22" s="25"/>
      <c r="I22" s="25"/>
      <c r="J22" s="25"/>
      <c r="K22" s="25"/>
    </row>
    <row r="23" spans="1:12">
      <c r="H23" s="25"/>
      <c r="I23" s="25"/>
      <c r="J23" s="25"/>
      <c r="K23" s="25"/>
    </row>
    <row r="24" spans="1:12">
      <c r="H24" s="25"/>
      <c r="I24" s="25"/>
      <c r="J24" s="25"/>
      <c r="K24" s="25"/>
    </row>
    <row r="25" spans="1:12">
      <c r="H25" s="25"/>
      <c r="I25" s="25"/>
      <c r="J25" s="25"/>
      <c r="K25" s="25"/>
    </row>
  </sheetData>
  <mergeCells count="14">
    <mergeCell ref="J1:M1"/>
    <mergeCell ref="L3:L7"/>
    <mergeCell ref="M3:M7"/>
    <mergeCell ref="J10:M10"/>
    <mergeCell ref="F1:I1"/>
    <mergeCell ref="H3:H7"/>
    <mergeCell ref="I3:I7"/>
    <mergeCell ref="F10:I10"/>
    <mergeCell ref="A1:A2"/>
    <mergeCell ref="B1:E1"/>
    <mergeCell ref="E3:E7"/>
    <mergeCell ref="D3:D7"/>
    <mergeCell ref="A9:A10"/>
    <mergeCell ref="B10:E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81E2-0D12-47F4-BE4B-DB5AC2FB13A4}">
  <dimension ref="A1:AH22"/>
  <sheetViews>
    <sheetView zoomScale="85" zoomScaleNormal="85" workbookViewId="0">
      <pane xSplit="1" topLeftCell="B1" activePane="topRight" state="frozen"/>
      <selection pane="topRight" activeCell="N20" sqref="N20"/>
    </sheetView>
  </sheetViews>
  <sheetFormatPr defaultColWidth="8.875" defaultRowHeight="12.75"/>
  <cols>
    <col min="1" max="1" width="30.625" style="1" customWidth="1"/>
    <col min="2" max="2" width="10.25" style="1" bestFit="1" customWidth="1"/>
    <col min="3" max="3" width="8.5" style="1" customWidth="1"/>
    <col min="4" max="4" width="9.375" style="1" customWidth="1"/>
    <col min="5" max="5" width="13.75" style="1" customWidth="1"/>
    <col min="6" max="6" width="7.75" style="1" bestFit="1" customWidth="1"/>
    <col min="7" max="7" width="14" style="1" bestFit="1" customWidth="1"/>
    <col min="8" max="8" width="10.25" style="1" customWidth="1"/>
    <col min="9" max="11" width="9.625" style="1" bestFit="1" customWidth="1"/>
    <col min="12" max="12" width="9.5" style="1" customWidth="1"/>
    <col min="13" max="13" width="10.25" style="1" bestFit="1" customWidth="1"/>
    <col min="14" max="14" width="11.625" style="1" customWidth="1"/>
    <col min="15" max="15" width="12" style="1" customWidth="1"/>
    <col min="16" max="16" width="13.75" style="1" customWidth="1"/>
    <col min="17" max="17" width="7.75" style="1" bestFit="1" customWidth="1"/>
    <col min="18" max="18" width="13.375" style="1" customWidth="1"/>
    <col min="19" max="19" width="9.5" style="1" customWidth="1"/>
    <col min="20" max="21" width="9.625" style="1" bestFit="1" customWidth="1"/>
    <col min="22" max="22" width="10.5" style="1" customWidth="1"/>
    <col min="23" max="23" width="13.875" style="1" bestFit="1" customWidth="1"/>
    <col min="24" max="16384" width="8.875" style="1"/>
  </cols>
  <sheetData>
    <row r="1" spans="1:34" ht="17.25" thickBot="1">
      <c r="A1" s="66" t="s">
        <v>25</v>
      </c>
      <c r="B1" s="66" t="s">
        <v>26</v>
      </c>
      <c r="C1" s="68"/>
      <c r="D1" s="68"/>
      <c r="E1" s="68"/>
      <c r="F1" s="68"/>
      <c r="G1" s="68"/>
      <c r="H1" s="68"/>
      <c r="I1" s="68"/>
      <c r="J1" s="68"/>
      <c r="K1" s="68"/>
      <c r="L1" s="69"/>
      <c r="M1" s="66" t="s">
        <v>2</v>
      </c>
      <c r="N1" s="68"/>
      <c r="O1" s="68"/>
      <c r="P1" s="68"/>
      <c r="Q1" s="68"/>
      <c r="R1" s="68"/>
      <c r="S1" s="68"/>
      <c r="T1" s="68"/>
      <c r="U1" s="68"/>
      <c r="V1" s="68"/>
      <c r="W1" s="69"/>
      <c r="X1" s="66" t="s">
        <v>3</v>
      </c>
      <c r="Y1" s="68"/>
      <c r="Z1" s="68"/>
      <c r="AA1" s="68"/>
      <c r="AB1" s="68"/>
      <c r="AC1" s="68"/>
      <c r="AD1" s="68"/>
      <c r="AE1" s="68"/>
      <c r="AF1" s="68"/>
      <c r="AG1" s="68"/>
      <c r="AH1" s="69"/>
    </row>
    <row r="2" spans="1:34" ht="16.5">
      <c r="A2" s="67"/>
      <c r="B2" s="31" t="s">
        <v>27</v>
      </c>
      <c r="C2" s="32" t="s">
        <v>28</v>
      </c>
      <c r="D2" s="32" t="s">
        <v>29</v>
      </c>
      <c r="E2" s="32" t="s">
        <v>30</v>
      </c>
      <c r="F2" s="32" t="s">
        <v>31</v>
      </c>
      <c r="G2" s="32" t="s">
        <v>32</v>
      </c>
      <c r="H2" s="32" t="s">
        <v>33</v>
      </c>
      <c r="I2" s="32" t="s">
        <v>34</v>
      </c>
      <c r="J2" s="32" t="s">
        <v>35</v>
      </c>
      <c r="K2" s="33" t="s">
        <v>36</v>
      </c>
      <c r="L2" s="35" t="s">
        <v>37</v>
      </c>
      <c r="M2" s="31" t="s">
        <v>27</v>
      </c>
      <c r="N2" s="32" t="s">
        <v>28</v>
      </c>
      <c r="O2" s="32" t="s">
        <v>29</v>
      </c>
      <c r="P2" s="32" t="s">
        <v>30</v>
      </c>
      <c r="Q2" s="32" t="s">
        <v>31</v>
      </c>
      <c r="R2" s="32" t="s">
        <v>32</v>
      </c>
      <c r="S2" s="32" t="s">
        <v>33</v>
      </c>
      <c r="T2" s="32" t="s">
        <v>34</v>
      </c>
      <c r="U2" s="32" t="s">
        <v>35</v>
      </c>
      <c r="V2" s="33" t="s">
        <v>36</v>
      </c>
      <c r="W2" s="35" t="s">
        <v>37</v>
      </c>
      <c r="X2" s="31" t="s">
        <v>27</v>
      </c>
      <c r="Y2" s="32" t="s">
        <v>28</v>
      </c>
      <c r="Z2" s="32" t="s">
        <v>29</v>
      </c>
      <c r="AA2" s="32" t="s">
        <v>30</v>
      </c>
      <c r="AB2" s="32" t="s">
        <v>31</v>
      </c>
      <c r="AC2" s="32" t="s">
        <v>32</v>
      </c>
      <c r="AD2" s="32" t="s">
        <v>33</v>
      </c>
      <c r="AE2" s="32" t="s">
        <v>34</v>
      </c>
      <c r="AF2" s="32" t="s">
        <v>35</v>
      </c>
      <c r="AG2" s="33" t="s">
        <v>36</v>
      </c>
      <c r="AH2" s="35" t="s">
        <v>37</v>
      </c>
    </row>
    <row r="3" spans="1:34" ht="16.5">
      <c r="A3" s="26" t="s">
        <v>38</v>
      </c>
      <c r="B3" s="2"/>
      <c r="C3" s="3"/>
      <c r="D3" s="3"/>
      <c r="E3" s="3"/>
      <c r="F3" s="3"/>
      <c r="G3" s="3"/>
      <c r="H3" s="3">
        <v>0.13636363636363635</v>
      </c>
      <c r="I3" s="3"/>
      <c r="J3" s="3">
        <v>2.2173913043478262</v>
      </c>
      <c r="K3" s="29">
        <f t="shared" ref="K3:K13" si="0">SUM(B3:J3)</f>
        <v>2.3537549407114624</v>
      </c>
      <c r="L3" s="36">
        <v>0.2608695652173913</v>
      </c>
      <c r="M3" s="2"/>
      <c r="N3" s="3"/>
      <c r="O3" s="3"/>
      <c r="P3" s="3"/>
      <c r="Q3" s="3">
        <v>4.7619047619047616E-2</v>
      </c>
      <c r="R3" s="3"/>
      <c r="S3" s="3">
        <v>0.2</v>
      </c>
      <c r="T3" s="3"/>
      <c r="U3" s="3">
        <v>2.9047619047619051</v>
      </c>
      <c r="V3" s="29">
        <f>SUM(M3:U3)</f>
        <v>3.1523809523809527</v>
      </c>
      <c r="W3" s="36">
        <v>1.8571428571428572</v>
      </c>
      <c r="X3" s="2"/>
      <c r="Y3" s="3"/>
      <c r="Z3" s="3"/>
      <c r="AA3" s="3"/>
      <c r="AB3" s="3">
        <v>0.1388888888888889</v>
      </c>
      <c r="AC3" s="3"/>
      <c r="AD3" s="3">
        <v>0.18181818181818182</v>
      </c>
      <c r="AE3" s="3"/>
      <c r="AF3" s="3">
        <v>3.2222222222222219</v>
      </c>
      <c r="AG3" s="29">
        <f>SUM(X3:AF3)</f>
        <v>3.5429292929292924</v>
      </c>
      <c r="AH3" s="36">
        <v>0.16666666666666666</v>
      </c>
    </row>
    <row r="4" spans="1:34" ht="16.5">
      <c r="A4" s="26" t="s">
        <v>39</v>
      </c>
      <c r="B4" s="2"/>
      <c r="C4" s="3"/>
      <c r="D4" s="3"/>
      <c r="E4" s="3"/>
      <c r="F4" s="3">
        <v>0.86956521739130432</v>
      </c>
      <c r="G4" s="3"/>
      <c r="H4" s="3">
        <v>2.0810276679841895</v>
      </c>
      <c r="I4" s="3"/>
      <c r="J4" s="3">
        <v>4.8695652173913055</v>
      </c>
      <c r="K4" s="29">
        <f t="shared" si="0"/>
        <v>7.8201581027667988</v>
      </c>
      <c r="L4" s="36">
        <v>1.0869565217391304</v>
      </c>
      <c r="M4" s="2"/>
      <c r="N4" s="3"/>
      <c r="O4" s="3"/>
      <c r="P4" s="3"/>
      <c r="Q4" s="3">
        <v>1.4523809523809526</v>
      </c>
      <c r="R4" s="3"/>
      <c r="S4" s="3">
        <v>1.9880952380952381</v>
      </c>
      <c r="T4" s="3"/>
      <c r="U4" s="3">
        <v>4.9047619047619042</v>
      </c>
      <c r="V4" s="29">
        <f>SUM(M4:U4)</f>
        <v>8.3452380952380949</v>
      </c>
      <c r="W4" s="36">
        <v>0.14285714285714285</v>
      </c>
      <c r="X4" s="2"/>
      <c r="Y4" s="3"/>
      <c r="Z4" s="3"/>
      <c r="AA4" s="3"/>
      <c r="AB4" s="3">
        <v>1.2222222222222221</v>
      </c>
      <c r="AC4" s="3"/>
      <c r="AD4" s="3">
        <v>1.893939393939394</v>
      </c>
      <c r="AE4" s="3"/>
      <c r="AF4" s="3">
        <v>5.7222222222222214</v>
      </c>
      <c r="AG4" s="29">
        <f>SUM(X4:AF4)</f>
        <v>8.8383838383838373</v>
      </c>
      <c r="AH4" s="36">
        <v>1.0555555555555556</v>
      </c>
    </row>
    <row r="5" spans="1:34" ht="16.5">
      <c r="A5" s="26" t="s">
        <v>40</v>
      </c>
      <c r="B5" s="2"/>
      <c r="C5" s="3"/>
      <c r="D5" s="3"/>
      <c r="E5" s="3"/>
      <c r="F5" s="3"/>
      <c r="G5" s="3"/>
      <c r="H5" s="3"/>
      <c r="I5" s="3"/>
      <c r="J5" s="3">
        <v>3.91</v>
      </c>
      <c r="K5" s="29">
        <f t="shared" si="0"/>
        <v>3.91</v>
      </c>
      <c r="L5" s="36">
        <v>0.65</v>
      </c>
      <c r="M5" s="2"/>
      <c r="N5" s="3"/>
      <c r="O5" s="3"/>
      <c r="P5" s="3"/>
      <c r="Q5" s="3"/>
      <c r="R5" s="3"/>
      <c r="S5" s="3"/>
      <c r="T5" s="3"/>
      <c r="U5" s="3">
        <v>4.55</v>
      </c>
      <c r="V5" s="29">
        <f t="shared" ref="V5:V10" si="1">SUM(M5:U5)</f>
        <v>4.55</v>
      </c>
      <c r="W5" s="36"/>
      <c r="X5" s="2"/>
      <c r="Y5" s="3"/>
      <c r="Z5" s="3"/>
      <c r="AA5" s="3"/>
      <c r="AB5" s="3"/>
      <c r="AC5" s="3"/>
      <c r="AD5" s="3"/>
      <c r="AE5" s="3"/>
      <c r="AF5" s="3">
        <v>4.2222222222222214</v>
      </c>
      <c r="AG5" s="29">
        <f t="shared" ref="AG5:AG10" si="2">SUM(X5:AF5)</f>
        <v>4.2222222222222214</v>
      </c>
      <c r="AH5" s="36"/>
    </row>
    <row r="6" spans="1:34" ht="16.5">
      <c r="A6" s="27" t="s">
        <v>41</v>
      </c>
      <c r="B6" s="4">
        <v>0.40513833992094861</v>
      </c>
      <c r="C6" s="5"/>
      <c r="D6" s="5"/>
      <c r="E6" s="5"/>
      <c r="F6" s="5"/>
      <c r="G6" s="5"/>
      <c r="H6" s="5">
        <v>4.3478260869565216E-2</v>
      </c>
      <c r="I6" s="5"/>
      <c r="J6" s="5"/>
      <c r="K6" s="30">
        <f t="shared" si="0"/>
        <v>0.4486166007905138</v>
      </c>
      <c r="L6" s="36">
        <v>8.6956521739130432E-2</v>
      </c>
      <c r="M6" s="4">
        <v>0.84523809523809523</v>
      </c>
      <c r="N6" s="5"/>
      <c r="O6" s="5"/>
      <c r="P6" s="5"/>
      <c r="Q6" s="5"/>
      <c r="R6" s="5"/>
      <c r="S6" s="5"/>
      <c r="T6" s="5"/>
      <c r="U6" s="5"/>
      <c r="V6" s="30">
        <f t="shared" si="1"/>
        <v>0.84523809523809523</v>
      </c>
      <c r="W6" s="36"/>
      <c r="X6" s="4">
        <v>0.36868686868686867</v>
      </c>
      <c r="Y6" s="5"/>
      <c r="Z6" s="5"/>
      <c r="AA6" s="5">
        <v>0.22727272727272727</v>
      </c>
      <c r="AB6" s="5"/>
      <c r="AC6" s="5"/>
      <c r="AD6" s="5"/>
      <c r="AE6" s="5"/>
      <c r="AF6" s="5"/>
      <c r="AG6" s="30">
        <f t="shared" si="2"/>
        <v>0.59595959595959591</v>
      </c>
      <c r="AH6" s="36"/>
    </row>
    <row r="7" spans="1:34" ht="16.5">
      <c r="A7" s="27" t="s">
        <v>42</v>
      </c>
      <c r="B7" s="4">
        <v>8.8250988142292499</v>
      </c>
      <c r="C7" s="5"/>
      <c r="D7" s="5"/>
      <c r="E7" s="5"/>
      <c r="F7" s="5">
        <v>1.4347826086956521</v>
      </c>
      <c r="G7" s="5"/>
      <c r="H7" s="5">
        <v>3.6739130434782594</v>
      </c>
      <c r="I7" s="5"/>
      <c r="J7" s="5"/>
      <c r="K7" s="30">
        <f t="shared" si="0"/>
        <v>13.933794466403162</v>
      </c>
      <c r="L7" s="36">
        <v>0.91304347826086951</v>
      </c>
      <c r="M7" s="4">
        <v>9.1952380952380963</v>
      </c>
      <c r="N7" s="5"/>
      <c r="O7" s="5"/>
      <c r="P7" s="5"/>
      <c r="Q7" s="5">
        <v>0.47619047619047616</v>
      </c>
      <c r="R7" s="5"/>
      <c r="S7" s="5">
        <v>3.8023809523809531</v>
      </c>
      <c r="T7" s="5"/>
      <c r="U7" s="5"/>
      <c r="V7" s="30">
        <f t="shared" si="1"/>
        <v>13.473809523809525</v>
      </c>
      <c r="W7" s="36">
        <v>1.5238095238095239</v>
      </c>
      <c r="X7" s="4">
        <v>9.1515151515151523</v>
      </c>
      <c r="Y7" s="5"/>
      <c r="Z7" s="5"/>
      <c r="AA7" s="5">
        <v>0.22727272727272727</v>
      </c>
      <c r="AB7" s="5">
        <v>0.44444444444444442</v>
      </c>
      <c r="AC7" s="5"/>
      <c r="AD7" s="5">
        <v>3.5820707070707063</v>
      </c>
      <c r="AE7" s="5"/>
      <c r="AF7" s="5"/>
      <c r="AG7" s="30">
        <f t="shared" si="2"/>
        <v>13.405303030303029</v>
      </c>
      <c r="AH7" s="36">
        <v>1.5</v>
      </c>
    </row>
    <row r="8" spans="1:34" ht="16.5">
      <c r="A8" s="26" t="s">
        <v>43</v>
      </c>
      <c r="B8" s="2"/>
      <c r="C8" s="3"/>
      <c r="D8" s="3"/>
      <c r="E8" s="3"/>
      <c r="F8" s="3"/>
      <c r="G8" s="3"/>
      <c r="H8" s="3"/>
      <c r="I8" s="3"/>
      <c r="J8" s="3">
        <v>8.6956521739130432E-2</v>
      </c>
      <c r="K8" s="29">
        <f t="shared" si="0"/>
        <v>8.6956521739130432E-2</v>
      </c>
      <c r="L8" s="36">
        <v>8.6956521739130432E-2</v>
      </c>
      <c r="M8" s="2"/>
      <c r="N8" s="3"/>
      <c r="O8" s="3"/>
      <c r="P8" s="3"/>
      <c r="Q8" s="3"/>
      <c r="R8" s="3"/>
      <c r="S8" s="3"/>
      <c r="T8" s="3"/>
      <c r="U8" s="3">
        <v>0.99999999999999989</v>
      </c>
      <c r="V8" s="29">
        <f t="shared" si="1"/>
        <v>0.99999999999999989</v>
      </c>
      <c r="W8" s="36"/>
      <c r="X8" s="2"/>
      <c r="Y8" s="3"/>
      <c r="Z8" s="3"/>
      <c r="AA8" s="3"/>
      <c r="AB8" s="3"/>
      <c r="AC8" s="3"/>
      <c r="AD8" s="3"/>
      <c r="AE8" s="3"/>
      <c r="AF8" s="3">
        <v>2.5555555555555554</v>
      </c>
      <c r="AG8" s="29">
        <f t="shared" si="2"/>
        <v>2.5555555555555554</v>
      </c>
      <c r="AH8" s="36"/>
    </row>
    <row r="9" spans="1:34" ht="16.5">
      <c r="A9" s="26" t="s">
        <v>44</v>
      </c>
      <c r="B9" s="2"/>
      <c r="C9" s="3">
        <v>1.2608695652173914</v>
      </c>
      <c r="D9" s="3"/>
      <c r="E9" s="3"/>
      <c r="F9" s="3">
        <v>1.4565217391304348</v>
      </c>
      <c r="G9" s="3"/>
      <c r="H9" s="3">
        <v>2.7173913043478262</v>
      </c>
      <c r="I9" s="3"/>
      <c r="J9" s="3">
        <v>8.1086956521739122</v>
      </c>
      <c r="K9" s="29">
        <f t="shared" si="0"/>
        <v>13.543478260869565</v>
      </c>
      <c r="L9" s="36">
        <v>0.52173913043478248</v>
      </c>
      <c r="M9" s="2"/>
      <c r="N9" s="3">
        <v>1.5238095238095239</v>
      </c>
      <c r="O9" s="3"/>
      <c r="P9" s="3"/>
      <c r="Q9" s="3">
        <v>1.5238095238095239</v>
      </c>
      <c r="R9" s="3"/>
      <c r="S9" s="3">
        <v>2.5238095238095237</v>
      </c>
      <c r="T9" s="3"/>
      <c r="U9" s="3">
        <v>5.3095238095238093</v>
      </c>
      <c r="V9" s="29">
        <f t="shared" si="1"/>
        <v>10.88095238095238</v>
      </c>
      <c r="W9" s="36"/>
      <c r="X9" s="2"/>
      <c r="Y9" s="3">
        <v>1.9722222222222223</v>
      </c>
      <c r="Z9" s="3"/>
      <c r="AA9" s="3"/>
      <c r="AB9" s="3">
        <v>1.4166666666666667</v>
      </c>
      <c r="AC9" s="3"/>
      <c r="AD9" s="3">
        <v>2.7638888888888884</v>
      </c>
      <c r="AE9" s="3"/>
      <c r="AF9" s="3">
        <v>3.8055555555555545</v>
      </c>
      <c r="AG9" s="29">
        <f t="shared" si="2"/>
        <v>9.9583333333333321</v>
      </c>
      <c r="AH9" s="36"/>
    </row>
    <row r="10" spans="1:34" ht="16.5">
      <c r="A10" s="26" t="s">
        <v>45</v>
      </c>
      <c r="B10" s="2"/>
      <c r="C10" s="3"/>
      <c r="D10" s="3"/>
      <c r="E10" s="3"/>
      <c r="F10" s="3"/>
      <c r="G10" s="3"/>
      <c r="H10" s="3"/>
      <c r="I10" s="3"/>
      <c r="J10" s="3">
        <v>0.43</v>
      </c>
      <c r="K10" s="29">
        <f t="shared" si="0"/>
        <v>0.43</v>
      </c>
      <c r="L10" s="36"/>
      <c r="M10" s="2"/>
      <c r="N10" s="3"/>
      <c r="O10" s="3"/>
      <c r="P10" s="3"/>
      <c r="Q10" s="3"/>
      <c r="R10" s="3"/>
      <c r="S10" s="3"/>
      <c r="T10" s="3"/>
      <c r="U10" s="3">
        <v>0.28999999999999998</v>
      </c>
      <c r="V10" s="29">
        <f t="shared" si="1"/>
        <v>0.28999999999999998</v>
      </c>
      <c r="W10" s="36"/>
      <c r="X10" s="2"/>
      <c r="Y10" s="3"/>
      <c r="Z10" s="3"/>
      <c r="AA10" s="3"/>
      <c r="AB10" s="3"/>
      <c r="AC10" s="3"/>
      <c r="AD10" s="3"/>
      <c r="AE10" s="3"/>
      <c r="AF10" s="3">
        <v>0.44444444444444442</v>
      </c>
      <c r="AG10" s="29">
        <f t="shared" si="2"/>
        <v>0.44444444444444442</v>
      </c>
      <c r="AH10" s="36"/>
    </row>
    <row r="11" spans="1:34" ht="16.5">
      <c r="A11" s="27" t="s">
        <v>46</v>
      </c>
      <c r="B11" s="4"/>
      <c r="C11" s="5"/>
      <c r="D11" s="5"/>
      <c r="E11" s="5">
        <v>0.21739130434782608</v>
      </c>
      <c r="F11" s="5">
        <v>0.13043478260869565</v>
      </c>
      <c r="G11" s="5"/>
      <c r="H11" s="5">
        <v>1.2282608695652175</v>
      </c>
      <c r="I11" s="5">
        <v>0.43478260869565216</v>
      </c>
      <c r="J11" s="5">
        <v>0.21739130434782608</v>
      </c>
      <c r="K11" s="30">
        <f t="shared" si="0"/>
        <v>2.2282608695652177</v>
      </c>
      <c r="L11" s="36">
        <v>0.73913043478260865</v>
      </c>
      <c r="M11" s="4"/>
      <c r="N11" s="5"/>
      <c r="O11" s="5"/>
      <c r="P11" s="5">
        <v>0.23809523809523808</v>
      </c>
      <c r="Q11" s="5">
        <v>0.11904761904761904</v>
      </c>
      <c r="R11" s="5"/>
      <c r="S11" s="5">
        <v>1.1333333333333333</v>
      </c>
      <c r="T11" s="5">
        <v>0.95238095238095233</v>
      </c>
      <c r="U11" s="5">
        <v>0.19047619047619047</v>
      </c>
      <c r="V11" s="30">
        <f>SUM(M11:U11)</f>
        <v>2.6333333333333337</v>
      </c>
      <c r="W11" s="36"/>
      <c r="X11" s="4"/>
      <c r="Y11" s="5"/>
      <c r="Z11" s="5"/>
      <c r="AA11" s="5">
        <v>0.45454545454545453</v>
      </c>
      <c r="AB11" s="5"/>
      <c r="AC11" s="5"/>
      <c r="AD11" s="5">
        <v>0.22222222222222221</v>
      </c>
      <c r="AE11" s="5">
        <v>0.94444444444444442</v>
      </c>
      <c r="AF11" s="5">
        <v>0.27777777777777779</v>
      </c>
      <c r="AG11" s="30">
        <f>SUM(X11:AF11)</f>
        <v>1.8989898989898988</v>
      </c>
      <c r="AH11" s="36"/>
    </row>
    <row r="12" spans="1:34" ht="16.5">
      <c r="A12" s="27" t="s">
        <v>47</v>
      </c>
      <c r="B12" s="4"/>
      <c r="C12" s="5">
        <v>1.3913043478260869</v>
      </c>
      <c r="D12" s="5"/>
      <c r="E12" s="5">
        <v>4.1304347826086962</v>
      </c>
      <c r="F12" s="5">
        <v>9.5217391304347831</v>
      </c>
      <c r="G12" s="5"/>
      <c r="H12" s="5">
        <v>8.8152173913043512</v>
      </c>
      <c r="I12" s="5">
        <v>12.391304347826088</v>
      </c>
      <c r="J12" s="5">
        <v>3.2826086956521743</v>
      </c>
      <c r="K12" s="30">
        <f t="shared" si="0"/>
        <v>39.532608695652179</v>
      </c>
      <c r="L12" s="36">
        <v>2.9130434782608696</v>
      </c>
      <c r="M12" s="4"/>
      <c r="N12" s="5">
        <v>1.5238095238095239</v>
      </c>
      <c r="O12" s="5"/>
      <c r="P12" s="5">
        <v>4.0952380952380949</v>
      </c>
      <c r="Q12" s="5">
        <v>8.7380952380952355</v>
      </c>
      <c r="R12" s="5"/>
      <c r="S12" s="5">
        <v>8.9523809523809472</v>
      </c>
      <c r="T12" s="5">
        <v>13.571428571428553</v>
      </c>
      <c r="U12" s="5">
        <v>3.7619047619047619</v>
      </c>
      <c r="V12" s="30">
        <f>SUM(M12:U12)</f>
        <v>40.642857142857117</v>
      </c>
      <c r="W12" s="36">
        <v>2.6190476190476182</v>
      </c>
      <c r="X12" s="4"/>
      <c r="Y12" s="5">
        <v>1.4999999999999998</v>
      </c>
      <c r="Z12" s="5"/>
      <c r="AA12" s="5">
        <v>4.4166666666666661</v>
      </c>
      <c r="AB12" s="5">
        <v>7.833333333333333</v>
      </c>
      <c r="AC12" s="5"/>
      <c r="AD12" s="5">
        <v>9.0486111111111089</v>
      </c>
      <c r="AE12" s="5">
        <v>12.555555555555557</v>
      </c>
      <c r="AF12" s="5">
        <v>3.5</v>
      </c>
      <c r="AG12" s="30">
        <f>SUM(X12:AF12)</f>
        <v>38.854166666666664</v>
      </c>
      <c r="AH12" s="36">
        <v>2.5555555555555549</v>
      </c>
    </row>
    <row r="13" spans="1:34" ht="16.5">
      <c r="A13" s="26" t="s">
        <v>48</v>
      </c>
      <c r="B13" s="2">
        <v>5.26185770750988</v>
      </c>
      <c r="C13" s="3">
        <v>5.3478260869565215</v>
      </c>
      <c r="D13" s="3">
        <v>7.0000000000000027</v>
      </c>
      <c r="E13" s="3">
        <v>0.65217391304347805</v>
      </c>
      <c r="F13" s="3">
        <v>3.108695652173914</v>
      </c>
      <c r="G13" s="3">
        <v>13.000000000000002</v>
      </c>
      <c r="H13" s="3">
        <v>2.3043478260869565</v>
      </c>
      <c r="I13" s="3">
        <v>3.1739130434782608</v>
      </c>
      <c r="J13" s="3">
        <v>13.87</v>
      </c>
      <c r="K13" s="29">
        <f t="shared" si="0"/>
        <v>53.718814229249006</v>
      </c>
      <c r="L13" s="36">
        <v>7.74</v>
      </c>
      <c r="M13" s="2">
        <v>4.7214285714285715</v>
      </c>
      <c r="N13" s="3">
        <v>4.9523809523809534</v>
      </c>
      <c r="O13" s="3">
        <v>5.9999999999999973</v>
      </c>
      <c r="P13" s="3">
        <v>0.66666666666666674</v>
      </c>
      <c r="Q13" s="3">
        <v>4.2619047619047619</v>
      </c>
      <c r="R13" s="3">
        <v>12</v>
      </c>
      <c r="S13" s="3">
        <v>2.4000000000000004</v>
      </c>
      <c r="T13" s="3">
        <v>1.4761904761904763</v>
      </c>
      <c r="U13" s="3">
        <v>11.1</v>
      </c>
      <c r="V13" s="29">
        <f>SUM(M13:U13)</f>
        <v>47.578571428571429</v>
      </c>
      <c r="W13" s="36">
        <v>8.8571428571428541</v>
      </c>
      <c r="X13" s="2">
        <v>4.4797979797979792</v>
      </c>
      <c r="Y13" s="3">
        <v>4.5277777777777768</v>
      </c>
      <c r="Z13" s="3">
        <v>6.9999999999999982</v>
      </c>
      <c r="AA13" s="3">
        <v>0.67424242424242431</v>
      </c>
      <c r="AB13" s="3">
        <v>5.3888888888888893</v>
      </c>
      <c r="AC13" s="3">
        <v>12.000000000000002</v>
      </c>
      <c r="AD13" s="3">
        <v>2.3074494949494953</v>
      </c>
      <c r="AE13" s="3">
        <v>2.5000000000000004</v>
      </c>
      <c r="AF13" s="3">
        <v>9.2499999999999982</v>
      </c>
      <c r="AG13" s="29">
        <f>SUM(X13:AF13)</f>
        <v>48.128156565656568</v>
      </c>
      <c r="AH13" s="36">
        <v>8.7222222222222197</v>
      </c>
    </row>
    <row r="14" spans="1:34" ht="17.25" thickBot="1">
      <c r="A14" s="28" t="s">
        <v>15</v>
      </c>
      <c r="B14" s="6">
        <f t="shared" ref="B14:M14" si="3">SUM(B3:B13)</f>
        <v>14.492094861660078</v>
      </c>
      <c r="C14" s="7">
        <f t="shared" si="3"/>
        <v>8</v>
      </c>
      <c r="D14" s="7">
        <f t="shared" si="3"/>
        <v>7.0000000000000027</v>
      </c>
      <c r="E14" s="7">
        <f t="shared" si="3"/>
        <v>5</v>
      </c>
      <c r="F14" s="7">
        <f t="shared" si="3"/>
        <v>16.521739130434785</v>
      </c>
      <c r="G14" s="7">
        <f t="shared" si="3"/>
        <v>13.000000000000002</v>
      </c>
      <c r="H14" s="7">
        <f t="shared" si="3"/>
        <v>21.000000000000004</v>
      </c>
      <c r="I14" s="7">
        <f t="shared" si="3"/>
        <v>16</v>
      </c>
      <c r="J14" s="7">
        <f t="shared" si="3"/>
        <v>36.992608695652173</v>
      </c>
      <c r="K14" s="34">
        <f t="shared" si="3"/>
        <v>138.00644268774704</v>
      </c>
      <c r="L14" s="37">
        <f t="shared" si="3"/>
        <v>14.998695652173913</v>
      </c>
      <c r="M14" s="6">
        <f t="shared" si="3"/>
        <v>14.761904761904763</v>
      </c>
      <c r="N14" s="7">
        <f t="shared" ref="N14" si="4">SUM(N3:N13)</f>
        <v>8.0000000000000018</v>
      </c>
      <c r="O14" s="7">
        <f t="shared" ref="O14" si="5">SUM(O3:O13)</f>
        <v>5.9999999999999973</v>
      </c>
      <c r="P14" s="7">
        <f t="shared" ref="P14" si="6">SUM(P3:P13)</f>
        <v>5</v>
      </c>
      <c r="Q14" s="7">
        <f t="shared" ref="Q14" si="7">SUM(Q3:Q13)</f>
        <v>16.619047619047617</v>
      </c>
      <c r="R14" s="7">
        <f t="shared" ref="R14" si="8">SUM(R3:R13)</f>
        <v>12</v>
      </c>
      <c r="S14" s="7">
        <f t="shared" ref="S14" si="9">SUM(S3:S13)</f>
        <v>20.999999999999993</v>
      </c>
      <c r="T14" s="7">
        <f t="shared" ref="T14" si="10">SUM(T3:T13)</f>
        <v>15.999999999999982</v>
      </c>
      <c r="U14" s="7">
        <f t="shared" ref="U14:V14" si="11">SUM(U3:U13)</f>
        <v>34.011428571428567</v>
      </c>
      <c r="V14" s="34">
        <f t="shared" si="11"/>
        <v>133.39238095238093</v>
      </c>
      <c r="W14" s="37">
        <f t="shared" ref="W14:AF14" si="12">SUM(W3:W13)</f>
        <v>14.999999999999996</v>
      </c>
      <c r="X14" s="6">
        <f>SUM(X3:X13)</f>
        <v>14</v>
      </c>
      <c r="Y14" s="7">
        <f t="shared" si="12"/>
        <v>7.9999999999999991</v>
      </c>
      <c r="Z14" s="7">
        <f t="shared" si="12"/>
        <v>6.9999999999999982</v>
      </c>
      <c r="AA14" s="7">
        <f t="shared" si="12"/>
        <v>6</v>
      </c>
      <c r="AB14" s="7">
        <f t="shared" si="12"/>
        <v>16.444444444444443</v>
      </c>
      <c r="AC14" s="7">
        <f t="shared" si="12"/>
        <v>12.000000000000002</v>
      </c>
      <c r="AD14" s="7">
        <f t="shared" si="12"/>
        <v>19.999999999999993</v>
      </c>
      <c r="AE14" s="7">
        <f t="shared" si="12"/>
        <v>16.000000000000004</v>
      </c>
      <c r="AF14" s="7">
        <f t="shared" si="12"/>
        <v>32.999999999999993</v>
      </c>
      <c r="AG14" s="34">
        <f>SUM(AG3:AG13)</f>
        <v>132.44444444444446</v>
      </c>
      <c r="AH14" s="37">
        <f>SUM(AH3:AH13)</f>
        <v>13.999999999999996</v>
      </c>
    </row>
    <row r="18" spans="1:16" ht="16.5">
      <c r="A18" s="8" t="s">
        <v>16</v>
      </c>
      <c r="G18"/>
      <c r="H18"/>
      <c r="I18"/>
      <c r="J18"/>
      <c r="K18"/>
      <c r="L18"/>
      <c r="M18"/>
      <c r="N18"/>
      <c r="O18"/>
      <c r="P18"/>
    </row>
    <row r="19" spans="1:16" ht="16.5">
      <c r="A19" s="8" t="s">
        <v>49</v>
      </c>
      <c r="G19" t="s">
        <v>50</v>
      </c>
      <c r="H19"/>
      <c r="I19" t="s">
        <v>10</v>
      </c>
      <c r="J19"/>
      <c r="K19" t="s">
        <v>51</v>
      </c>
      <c r="L19"/>
      <c r="M19" t="s">
        <v>12</v>
      </c>
      <c r="N19"/>
      <c r="O19"/>
      <c r="P19"/>
    </row>
    <row r="20" spans="1:16" ht="16.5">
      <c r="A20" s="8"/>
      <c r="G20">
        <v>8</v>
      </c>
      <c r="H20" s="49">
        <f>K3/(K3+K4+K5)</f>
        <v>0.16712364904875632</v>
      </c>
      <c r="I20">
        <v>8</v>
      </c>
      <c r="J20" s="49">
        <f>K6/(K6+K7)</f>
        <v>3.1192030230161455E-2</v>
      </c>
      <c r="K20">
        <v>8</v>
      </c>
      <c r="L20" s="49">
        <f>K8/(K8+K9+K10)</f>
        <v>6.1844831318222581E-3</v>
      </c>
      <c r="M20">
        <v>8</v>
      </c>
      <c r="N20" s="49">
        <f>K11/(K11+K12)</f>
        <v>5.3357626236335241E-2</v>
      </c>
      <c r="O20"/>
      <c r="P20"/>
    </row>
    <row r="21" spans="1:16" ht="16.5">
      <c r="A21" s="8"/>
      <c r="G21">
        <v>9</v>
      </c>
      <c r="H21" s="49">
        <f>V3/(V3+V4+V5)</f>
        <v>0.19643916913946591</v>
      </c>
      <c r="I21">
        <v>9</v>
      </c>
      <c r="J21" s="49">
        <f>V6/(V6+V7)</f>
        <v>5.9028932490854669E-2</v>
      </c>
      <c r="K21">
        <v>9</v>
      </c>
      <c r="L21" s="49">
        <f>V8/(V8+V9+V10)</f>
        <v>8.2162838921710557E-2</v>
      </c>
      <c r="M21">
        <v>9</v>
      </c>
      <c r="N21" s="49">
        <f>V11/(V11+V12)</f>
        <v>6.0849471830985963E-2</v>
      </c>
      <c r="O21"/>
      <c r="P21"/>
    </row>
    <row r="22" spans="1:16" ht="14.25">
      <c r="E22" s="25"/>
      <c r="G22">
        <v>10</v>
      </c>
      <c r="H22" s="49">
        <f>AG3/(AG3+AG4+AG5)</f>
        <v>0.21338403041825096</v>
      </c>
      <c r="I22">
        <v>10</v>
      </c>
      <c r="J22" s="49">
        <f>AG6/(AG6+AG7)</f>
        <v>4.2564703760483366E-2</v>
      </c>
      <c r="K22">
        <v>10</v>
      </c>
      <c r="L22" s="49">
        <f>AG8/(AG8+AG9+AG10)</f>
        <v>0.19721329046087888</v>
      </c>
      <c r="M22">
        <v>10</v>
      </c>
      <c r="N22" s="49">
        <f>AG11/(AG11+AG12)</f>
        <v>4.6597369603271731E-2</v>
      </c>
      <c r="O22"/>
      <c r="P22"/>
    </row>
  </sheetData>
  <mergeCells count="4">
    <mergeCell ref="A1:A2"/>
    <mergeCell ref="M1:W1"/>
    <mergeCell ref="B1:L1"/>
    <mergeCell ref="X1:AH1"/>
  </mergeCells>
  <phoneticPr fontId="1" type="noConversion"/>
  <pageMargins left="0.7" right="0.7" top="0.75" bottom="0.75" header="0.3" footer="0.3"/>
  <ignoredErrors>
    <ignoredError sqref="V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7CF5-EFB4-4DA6-8DB5-82959DF43CDB}">
  <dimension ref="A1:C164"/>
  <sheetViews>
    <sheetView workbookViewId="0">
      <selection activeCell="B2" sqref="B2:B18"/>
    </sheetView>
  </sheetViews>
  <sheetFormatPr defaultColWidth="8.875" defaultRowHeight="12.75"/>
  <cols>
    <col min="1" max="1" width="13.125" style="1" bestFit="1" customWidth="1"/>
    <col min="2" max="2" width="42.5" style="1" customWidth="1"/>
    <col min="3" max="3" width="25.5" style="1" customWidth="1"/>
    <col min="4" max="16384" width="8.875" style="1"/>
  </cols>
  <sheetData>
    <row r="1" spans="1:3" ht="16.5">
      <c r="A1" s="9" t="s">
        <v>52</v>
      </c>
      <c r="B1" s="9" t="s">
        <v>53</v>
      </c>
      <c r="C1" s="9" t="s">
        <v>54</v>
      </c>
    </row>
    <row r="2" spans="1:3" ht="16.5">
      <c r="A2" s="10" t="s">
        <v>55</v>
      </c>
      <c r="B2" s="10" t="s">
        <v>56</v>
      </c>
      <c r="C2" s="10"/>
    </row>
    <row r="3" spans="1:3" ht="16.5">
      <c r="A3" s="10" t="s">
        <v>55</v>
      </c>
      <c r="B3" s="10" t="s">
        <v>57</v>
      </c>
      <c r="C3" s="10"/>
    </row>
    <row r="4" spans="1:3" ht="16.5">
      <c r="A4" s="10" t="s">
        <v>55</v>
      </c>
      <c r="B4" s="10" t="s">
        <v>58</v>
      </c>
      <c r="C4" s="10"/>
    </row>
    <row r="5" spans="1:3" ht="16.5">
      <c r="A5" s="10" t="s">
        <v>55</v>
      </c>
      <c r="B5" s="10" t="s">
        <v>59</v>
      </c>
      <c r="C5" s="10"/>
    </row>
    <row r="6" spans="1:3" ht="16.5">
      <c r="A6" s="10" t="s">
        <v>55</v>
      </c>
      <c r="B6" s="10" t="s">
        <v>60</v>
      </c>
      <c r="C6" s="10"/>
    </row>
    <row r="7" spans="1:3" ht="16.5">
      <c r="A7" s="10" t="s">
        <v>55</v>
      </c>
      <c r="B7" s="10" t="s">
        <v>61</v>
      </c>
      <c r="C7" s="10" t="s">
        <v>62</v>
      </c>
    </row>
    <row r="8" spans="1:3" ht="16.5">
      <c r="A8" s="10" t="s">
        <v>55</v>
      </c>
      <c r="B8" s="10" t="s">
        <v>63</v>
      </c>
      <c r="C8" s="10"/>
    </row>
    <row r="9" spans="1:3" ht="16.5">
      <c r="A9" s="10" t="s">
        <v>55</v>
      </c>
      <c r="B9" s="10" t="s">
        <v>64</v>
      </c>
      <c r="C9" s="10"/>
    </row>
    <row r="10" spans="1:3" ht="16.5">
      <c r="A10" s="10" t="s">
        <v>55</v>
      </c>
      <c r="B10" s="10" t="s">
        <v>65</v>
      </c>
      <c r="C10" s="10"/>
    </row>
    <row r="11" spans="1:3" ht="16.5">
      <c r="A11" s="10" t="s">
        <v>55</v>
      </c>
      <c r="B11" s="10" t="s">
        <v>66</v>
      </c>
      <c r="C11" s="10"/>
    </row>
    <row r="12" spans="1:3" ht="16.5">
      <c r="A12" s="10" t="s">
        <v>55</v>
      </c>
      <c r="B12" s="10" t="s">
        <v>67</v>
      </c>
      <c r="C12" s="10"/>
    </row>
    <row r="13" spans="1:3" ht="16.5">
      <c r="A13" s="10" t="s">
        <v>55</v>
      </c>
      <c r="B13" s="10" t="s">
        <v>68</v>
      </c>
      <c r="C13" s="10"/>
    </row>
    <row r="14" spans="1:3" ht="16.5">
      <c r="A14" s="10" t="s">
        <v>55</v>
      </c>
      <c r="B14" s="10" t="s">
        <v>69</v>
      </c>
      <c r="C14" s="10"/>
    </row>
    <row r="15" spans="1:3" ht="16.5">
      <c r="A15" s="10" t="s">
        <v>55</v>
      </c>
      <c r="B15" s="10" t="s">
        <v>70</v>
      </c>
      <c r="C15" s="10"/>
    </row>
    <row r="16" spans="1:3" ht="16.5">
      <c r="A16" s="10" t="s">
        <v>55</v>
      </c>
      <c r="B16" s="10" t="s">
        <v>71</v>
      </c>
      <c r="C16" s="10"/>
    </row>
    <row r="17" spans="1:3" ht="16.5">
      <c r="A17" s="10" t="s">
        <v>55</v>
      </c>
      <c r="B17" s="10" t="s">
        <v>72</v>
      </c>
      <c r="C17" s="10"/>
    </row>
    <row r="18" spans="1:3" ht="16.5">
      <c r="A18" s="10" t="s">
        <v>55</v>
      </c>
      <c r="B18" s="10" t="s">
        <v>73</v>
      </c>
      <c r="C18" s="10"/>
    </row>
    <row r="19" spans="1:3" ht="16.5">
      <c r="A19" s="11" t="s">
        <v>74</v>
      </c>
      <c r="B19" s="11" t="s">
        <v>75</v>
      </c>
      <c r="C19" s="11"/>
    </row>
    <row r="20" spans="1:3" ht="16.5">
      <c r="A20" s="11" t="s">
        <v>74</v>
      </c>
      <c r="B20" s="11" t="s">
        <v>76</v>
      </c>
      <c r="C20" s="11"/>
    </row>
    <row r="21" spans="1:3" ht="16.5">
      <c r="A21" s="11" t="s">
        <v>74</v>
      </c>
      <c r="B21" s="11" t="s">
        <v>77</v>
      </c>
      <c r="C21" s="11"/>
    </row>
    <row r="22" spans="1:3" ht="16.5">
      <c r="A22" s="11" t="s">
        <v>74</v>
      </c>
      <c r="B22" s="11" t="s">
        <v>78</v>
      </c>
      <c r="C22" s="11"/>
    </row>
    <row r="23" spans="1:3" ht="16.5">
      <c r="A23" s="11" t="s">
        <v>74</v>
      </c>
      <c r="B23" s="11" t="s">
        <v>79</v>
      </c>
      <c r="C23" s="11"/>
    </row>
    <row r="24" spans="1:3" ht="16.5">
      <c r="A24" s="11" t="s">
        <v>74</v>
      </c>
      <c r="B24" s="11" t="s">
        <v>80</v>
      </c>
      <c r="C24" s="11"/>
    </row>
    <row r="25" spans="1:3" ht="16.5">
      <c r="A25" s="11" t="s">
        <v>74</v>
      </c>
      <c r="B25" s="11" t="s">
        <v>81</v>
      </c>
      <c r="C25" s="11"/>
    </row>
    <row r="26" spans="1:3" ht="16.5">
      <c r="A26" s="11" t="s">
        <v>74</v>
      </c>
      <c r="B26" s="11" t="s">
        <v>82</v>
      </c>
      <c r="C26" s="11"/>
    </row>
    <row r="27" spans="1:3" ht="16.5">
      <c r="A27" s="11" t="s">
        <v>74</v>
      </c>
      <c r="B27" s="11" t="s">
        <v>83</v>
      </c>
      <c r="C27" s="11"/>
    </row>
    <row r="28" spans="1:3" ht="16.5">
      <c r="A28" s="11" t="s">
        <v>74</v>
      </c>
      <c r="B28" s="11" t="s">
        <v>84</v>
      </c>
      <c r="C28" s="11"/>
    </row>
    <row r="29" spans="1:3" ht="16.5">
      <c r="A29" s="11" t="s">
        <v>74</v>
      </c>
      <c r="B29" s="11" t="s">
        <v>85</v>
      </c>
      <c r="C29" s="11"/>
    </row>
    <row r="30" spans="1:3" ht="16.5">
      <c r="A30" s="11" t="s">
        <v>74</v>
      </c>
      <c r="B30" s="11" t="s">
        <v>86</v>
      </c>
      <c r="C30" s="11"/>
    </row>
    <row r="31" spans="1:3" ht="16.5">
      <c r="A31" s="11" t="s">
        <v>74</v>
      </c>
      <c r="B31" s="11" t="s">
        <v>87</v>
      </c>
      <c r="C31" s="11"/>
    </row>
    <row r="32" spans="1:3" ht="16.5">
      <c r="A32" s="11" t="s">
        <v>74</v>
      </c>
      <c r="B32" s="11" t="s">
        <v>88</v>
      </c>
      <c r="C32" s="11"/>
    </row>
    <row r="33" spans="1:3" ht="16.5">
      <c r="A33" s="11" t="s">
        <v>74</v>
      </c>
      <c r="B33" s="11" t="s">
        <v>89</v>
      </c>
      <c r="C33" s="11"/>
    </row>
    <row r="34" spans="1:3" ht="16.5">
      <c r="A34" s="11" t="s">
        <v>74</v>
      </c>
      <c r="B34" s="11" t="s">
        <v>90</v>
      </c>
      <c r="C34" s="11"/>
    </row>
    <row r="35" spans="1:3" ht="16.5">
      <c r="A35" s="11" t="s">
        <v>74</v>
      </c>
      <c r="B35" s="11" t="s">
        <v>91</v>
      </c>
      <c r="C35" s="11"/>
    </row>
    <row r="36" spans="1:3" ht="16.5">
      <c r="A36" s="11" t="s">
        <v>74</v>
      </c>
      <c r="B36" s="11" t="s">
        <v>92</v>
      </c>
      <c r="C36" s="11"/>
    </row>
    <row r="37" spans="1:3" ht="16.5">
      <c r="A37" s="11" t="s">
        <v>74</v>
      </c>
      <c r="B37" s="11" t="s">
        <v>93</v>
      </c>
      <c r="C37" s="11"/>
    </row>
    <row r="38" spans="1:3" ht="16.5">
      <c r="A38" s="11" t="s">
        <v>74</v>
      </c>
      <c r="B38" s="11" t="s">
        <v>94</v>
      </c>
      <c r="C38" s="11"/>
    </row>
    <row r="39" spans="1:3" ht="16.5">
      <c r="A39" s="11" t="s">
        <v>74</v>
      </c>
      <c r="B39" s="11" t="s">
        <v>95</v>
      </c>
      <c r="C39" s="11"/>
    </row>
    <row r="40" spans="1:3" ht="16.5">
      <c r="A40" s="11" t="s">
        <v>74</v>
      </c>
      <c r="B40" s="11" t="s">
        <v>96</v>
      </c>
      <c r="C40" s="11"/>
    </row>
    <row r="41" spans="1:3" ht="16.5">
      <c r="A41" s="10" t="s">
        <v>97</v>
      </c>
      <c r="B41" s="10" t="s">
        <v>98</v>
      </c>
      <c r="C41" s="10"/>
    </row>
    <row r="42" spans="1:3" ht="16.5">
      <c r="A42" s="10" t="s">
        <v>97</v>
      </c>
      <c r="B42" s="10" t="s">
        <v>99</v>
      </c>
      <c r="C42" s="10"/>
    </row>
    <row r="43" spans="1:3" ht="16.5">
      <c r="A43" s="10" t="s">
        <v>97</v>
      </c>
      <c r="B43" s="10" t="s">
        <v>100</v>
      </c>
      <c r="C43" s="10"/>
    </row>
    <row r="44" spans="1:3" ht="16.5">
      <c r="A44" s="10" t="s">
        <v>97</v>
      </c>
      <c r="B44" s="10" t="s">
        <v>101</v>
      </c>
      <c r="C44" s="10"/>
    </row>
    <row r="45" spans="1:3" ht="16.5">
      <c r="A45" s="10" t="s">
        <v>97</v>
      </c>
      <c r="B45" s="10" t="s">
        <v>102</v>
      </c>
      <c r="C45" s="10"/>
    </row>
    <row r="46" spans="1:3" ht="16.5">
      <c r="A46" s="10" t="s">
        <v>97</v>
      </c>
      <c r="B46" s="10" t="s">
        <v>103</v>
      </c>
      <c r="C46" s="10"/>
    </row>
    <row r="47" spans="1:3" ht="16.5">
      <c r="A47" s="10" t="s">
        <v>97</v>
      </c>
      <c r="B47" s="10" t="s">
        <v>104</v>
      </c>
      <c r="C47" s="10"/>
    </row>
    <row r="48" spans="1:3" ht="16.5">
      <c r="A48" s="10" t="s">
        <v>97</v>
      </c>
      <c r="B48" s="10" t="s">
        <v>105</v>
      </c>
      <c r="C48" s="10"/>
    </row>
    <row r="49" spans="1:3" ht="16.5">
      <c r="A49" s="10" t="s">
        <v>97</v>
      </c>
      <c r="B49" s="10" t="s">
        <v>106</v>
      </c>
      <c r="C49" s="10"/>
    </row>
    <row r="50" spans="1:3" ht="16.5">
      <c r="A50" s="10" t="s">
        <v>97</v>
      </c>
      <c r="B50" s="10" t="s">
        <v>107</v>
      </c>
      <c r="C50" s="10"/>
    </row>
    <row r="51" spans="1:3" ht="16.5">
      <c r="A51" s="10" t="s">
        <v>97</v>
      </c>
      <c r="B51" s="10" t="s">
        <v>108</v>
      </c>
      <c r="C51" s="10"/>
    </row>
    <row r="52" spans="1:3" ht="16.5">
      <c r="A52" s="10" t="s">
        <v>97</v>
      </c>
      <c r="B52" s="10" t="s">
        <v>109</v>
      </c>
      <c r="C52" s="10"/>
    </row>
    <row r="53" spans="1:3" ht="16.5">
      <c r="A53" s="10" t="s">
        <v>97</v>
      </c>
      <c r="B53" s="10" t="s">
        <v>110</v>
      </c>
      <c r="C53" s="10"/>
    </row>
    <row r="54" spans="1:3" ht="16.5">
      <c r="A54" s="10" t="s">
        <v>97</v>
      </c>
      <c r="B54" s="10" t="s">
        <v>111</v>
      </c>
      <c r="C54" s="10"/>
    </row>
    <row r="55" spans="1:3" ht="16.5">
      <c r="A55" s="10" t="s">
        <v>97</v>
      </c>
      <c r="B55" s="10" t="s">
        <v>112</v>
      </c>
      <c r="C55" s="10"/>
    </row>
    <row r="56" spans="1:3" ht="16.5">
      <c r="A56" s="10" t="s">
        <v>97</v>
      </c>
      <c r="B56" s="10" t="s">
        <v>113</v>
      </c>
      <c r="C56" s="10"/>
    </row>
    <row r="57" spans="1:3" ht="16.5">
      <c r="A57" s="10" t="s">
        <v>97</v>
      </c>
      <c r="B57" s="10" t="s">
        <v>114</v>
      </c>
      <c r="C57" s="10"/>
    </row>
    <row r="58" spans="1:3" ht="16.5">
      <c r="A58" s="11" t="s">
        <v>115</v>
      </c>
      <c r="B58" s="11" t="s">
        <v>116</v>
      </c>
      <c r="C58" s="11"/>
    </row>
    <row r="59" spans="1:3" ht="16.5">
      <c r="A59" s="11" t="s">
        <v>115</v>
      </c>
      <c r="B59" s="11" t="s">
        <v>117</v>
      </c>
      <c r="C59" s="11"/>
    </row>
    <row r="60" spans="1:3" ht="16.5">
      <c r="A60" s="11" t="s">
        <v>115</v>
      </c>
      <c r="B60" s="11" t="s">
        <v>118</v>
      </c>
      <c r="C60" s="11"/>
    </row>
    <row r="61" spans="1:3" ht="16.5">
      <c r="A61" s="11" t="s">
        <v>115</v>
      </c>
      <c r="B61" s="11" t="s">
        <v>119</v>
      </c>
      <c r="C61" s="11"/>
    </row>
    <row r="62" spans="1:3" ht="16.5">
      <c r="A62" s="11" t="s">
        <v>115</v>
      </c>
      <c r="B62" s="11" t="s">
        <v>120</v>
      </c>
      <c r="C62" s="11" t="s">
        <v>121</v>
      </c>
    </row>
    <row r="63" spans="1:3" ht="16.5">
      <c r="A63" s="11" t="s">
        <v>115</v>
      </c>
      <c r="B63" s="11" t="s">
        <v>122</v>
      </c>
      <c r="C63" s="11"/>
    </row>
    <row r="64" spans="1:3" ht="16.5">
      <c r="A64" s="11" t="s">
        <v>115</v>
      </c>
      <c r="B64" s="11" t="s">
        <v>123</v>
      </c>
      <c r="C64" s="11"/>
    </row>
    <row r="65" spans="1:3" ht="16.5">
      <c r="A65" s="11" t="s">
        <v>115</v>
      </c>
      <c r="B65" s="11" t="s">
        <v>124</v>
      </c>
      <c r="C65" s="11"/>
    </row>
    <row r="66" spans="1:3" ht="16.5">
      <c r="A66" s="11" t="s">
        <v>115</v>
      </c>
      <c r="B66" s="11" t="s">
        <v>125</v>
      </c>
      <c r="C66" s="11"/>
    </row>
    <row r="67" spans="1:3" ht="16.5">
      <c r="A67" s="11" t="s">
        <v>115</v>
      </c>
      <c r="B67" s="11" t="s">
        <v>126</v>
      </c>
      <c r="C67" s="11"/>
    </row>
    <row r="68" spans="1:3" ht="16.5">
      <c r="A68" s="11" t="s">
        <v>115</v>
      </c>
      <c r="B68" s="11" t="s">
        <v>127</v>
      </c>
      <c r="C68" s="11"/>
    </row>
    <row r="69" spans="1:3" ht="16.5">
      <c r="A69" s="11" t="s">
        <v>115</v>
      </c>
      <c r="B69" s="11" t="s">
        <v>128</v>
      </c>
      <c r="C69" s="11"/>
    </row>
    <row r="70" spans="1:3" ht="16.5">
      <c r="A70" s="11" t="s">
        <v>115</v>
      </c>
      <c r="B70" s="11" t="s">
        <v>129</v>
      </c>
      <c r="C70" s="11"/>
    </row>
    <row r="71" spans="1:3" ht="16.5">
      <c r="A71" s="11" t="s">
        <v>115</v>
      </c>
      <c r="B71" s="11" t="s">
        <v>130</v>
      </c>
      <c r="C71" s="11"/>
    </row>
    <row r="72" spans="1:3" ht="16.5">
      <c r="A72" s="11" t="s">
        <v>115</v>
      </c>
      <c r="B72" s="11" t="s">
        <v>131</v>
      </c>
      <c r="C72" s="11"/>
    </row>
    <row r="73" spans="1:3" ht="16.5">
      <c r="A73" s="11" t="s">
        <v>115</v>
      </c>
      <c r="B73" s="11" t="s">
        <v>132</v>
      </c>
      <c r="C73" s="11"/>
    </row>
    <row r="74" spans="1:3" ht="16.5">
      <c r="A74" s="10" t="s">
        <v>133</v>
      </c>
      <c r="B74" s="10" t="s">
        <v>134</v>
      </c>
      <c r="C74" s="10"/>
    </row>
    <row r="75" spans="1:3" ht="16.5">
      <c r="A75" s="10" t="s">
        <v>133</v>
      </c>
      <c r="B75" s="10" t="s">
        <v>135</v>
      </c>
      <c r="C75" s="10"/>
    </row>
    <row r="76" spans="1:3" ht="16.5">
      <c r="A76" s="10" t="s">
        <v>133</v>
      </c>
      <c r="B76" s="10" t="s">
        <v>136</v>
      </c>
      <c r="C76" s="10"/>
    </row>
    <row r="77" spans="1:3" ht="16.5">
      <c r="A77" s="10" t="s">
        <v>133</v>
      </c>
      <c r="B77" s="10" t="s">
        <v>137</v>
      </c>
      <c r="C77" s="10"/>
    </row>
    <row r="78" spans="1:3" ht="16.5">
      <c r="A78" s="10" t="s">
        <v>133</v>
      </c>
      <c r="B78" s="10" t="s">
        <v>138</v>
      </c>
      <c r="C78" s="10"/>
    </row>
    <row r="79" spans="1:3" ht="16.5">
      <c r="A79" s="10" t="s">
        <v>133</v>
      </c>
      <c r="B79" s="10" t="s">
        <v>139</v>
      </c>
      <c r="C79" s="10"/>
    </row>
    <row r="80" spans="1:3" ht="16.5">
      <c r="A80" s="10" t="s">
        <v>133</v>
      </c>
      <c r="B80" s="10" t="s">
        <v>140</v>
      </c>
      <c r="C80" s="10"/>
    </row>
    <row r="81" spans="1:3" ht="16.5">
      <c r="A81" s="10" t="s">
        <v>133</v>
      </c>
      <c r="B81" s="10" t="s">
        <v>141</v>
      </c>
      <c r="C81" s="10"/>
    </row>
    <row r="82" spans="1:3" ht="16.5">
      <c r="A82" s="10" t="s">
        <v>133</v>
      </c>
      <c r="B82" s="10" t="s">
        <v>142</v>
      </c>
      <c r="C82" s="10"/>
    </row>
    <row r="83" spans="1:3" ht="16.5">
      <c r="A83" s="10" t="s">
        <v>133</v>
      </c>
      <c r="B83" s="10" t="s">
        <v>143</v>
      </c>
      <c r="C83" s="10"/>
    </row>
    <row r="84" spans="1:3" ht="16.5">
      <c r="A84" s="10" t="s">
        <v>133</v>
      </c>
      <c r="B84" s="10" t="s">
        <v>144</v>
      </c>
      <c r="C84" s="10"/>
    </row>
    <row r="85" spans="1:3" ht="16.5">
      <c r="A85" s="10" t="s">
        <v>133</v>
      </c>
      <c r="B85" s="10" t="s">
        <v>145</v>
      </c>
      <c r="C85" s="10"/>
    </row>
    <row r="86" spans="1:3" ht="16.5">
      <c r="A86" s="10" t="s">
        <v>146</v>
      </c>
      <c r="B86" s="10" t="s">
        <v>147</v>
      </c>
      <c r="C86" s="10"/>
    </row>
    <row r="87" spans="1:3" ht="16.5">
      <c r="A87" s="10" t="s">
        <v>146</v>
      </c>
      <c r="B87" s="10" t="s">
        <v>148</v>
      </c>
      <c r="C87" s="10"/>
    </row>
    <row r="88" spans="1:3" ht="16.5">
      <c r="A88" s="10" t="s">
        <v>146</v>
      </c>
      <c r="B88" s="10" t="s">
        <v>149</v>
      </c>
      <c r="C88" s="10"/>
    </row>
    <row r="89" spans="1:3" ht="16.5">
      <c r="A89" s="10" t="s">
        <v>146</v>
      </c>
      <c r="B89" s="10" t="s">
        <v>150</v>
      </c>
      <c r="C89" s="10"/>
    </row>
    <row r="90" spans="1:3" ht="16.5">
      <c r="A90" s="10" t="s">
        <v>146</v>
      </c>
      <c r="B90" s="10" t="s">
        <v>151</v>
      </c>
      <c r="C90" s="10"/>
    </row>
    <row r="91" spans="1:3" ht="16.5">
      <c r="A91" s="10" t="s">
        <v>146</v>
      </c>
      <c r="B91" s="10" t="s">
        <v>152</v>
      </c>
      <c r="C91" s="10"/>
    </row>
    <row r="92" spans="1:3" ht="16.5">
      <c r="A92" s="10" t="s">
        <v>146</v>
      </c>
      <c r="B92" s="10" t="s">
        <v>153</v>
      </c>
      <c r="C92" s="10"/>
    </row>
    <row r="93" spans="1:3" ht="16.5">
      <c r="A93" s="11" t="s">
        <v>154</v>
      </c>
      <c r="B93" s="11" t="s">
        <v>155</v>
      </c>
      <c r="C93" s="11"/>
    </row>
    <row r="94" spans="1:3" ht="16.5">
      <c r="A94" s="11" t="s">
        <v>154</v>
      </c>
      <c r="B94" s="11" t="s">
        <v>156</v>
      </c>
      <c r="C94" s="11"/>
    </row>
    <row r="95" spans="1:3" ht="16.5">
      <c r="A95" s="11" t="s">
        <v>154</v>
      </c>
      <c r="B95" s="11" t="s">
        <v>157</v>
      </c>
      <c r="C95" s="11"/>
    </row>
    <row r="96" spans="1:3" ht="16.5">
      <c r="A96" s="11" t="s">
        <v>154</v>
      </c>
      <c r="B96" s="11" t="s">
        <v>158</v>
      </c>
      <c r="C96" s="11"/>
    </row>
    <row r="97" spans="1:3" ht="16.5">
      <c r="A97" s="11" t="s">
        <v>154</v>
      </c>
      <c r="B97" s="11" t="s">
        <v>159</v>
      </c>
      <c r="C97" s="11" t="s">
        <v>121</v>
      </c>
    </row>
    <row r="98" spans="1:3" ht="16.5">
      <c r="A98" s="11" t="s">
        <v>154</v>
      </c>
      <c r="B98" s="11" t="s">
        <v>160</v>
      </c>
      <c r="C98" s="11"/>
    </row>
    <row r="99" spans="1:3" ht="16.5">
      <c r="A99" s="11" t="s">
        <v>154</v>
      </c>
      <c r="B99" s="11" t="s">
        <v>161</v>
      </c>
      <c r="C99" s="11"/>
    </row>
    <row r="100" spans="1:3" ht="16.5">
      <c r="A100" s="11" t="s">
        <v>154</v>
      </c>
      <c r="B100" s="11" t="s">
        <v>162</v>
      </c>
      <c r="C100" s="11"/>
    </row>
    <row r="101" spans="1:3" ht="16.5">
      <c r="A101" s="11" t="s">
        <v>154</v>
      </c>
      <c r="B101" s="11" t="s">
        <v>163</v>
      </c>
      <c r="C101" s="11"/>
    </row>
    <row r="102" spans="1:3" ht="16.5">
      <c r="A102" s="11" t="s">
        <v>154</v>
      </c>
      <c r="B102" s="11" t="s">
        <v>164</v>
      </c>
      <c r="C102" s="11"/>
    </row>
    <row r="103" spans="1:3" ht="16.5">
      <c r="A103" s="11" t="s">
        <v>154</v>
      </c>
      <c r="B103" s="11" t="s">
        <v>165</v>
      </c>
      <c r="C103" s="11"/>
    </row>
    <row r="104" spans="1:3" ht="16.5">
      <c r="A104" s="11" t="s">
        <v>154</v>
      </c>
      <c r="B104" s="11" t="s">
        <v>166</v>
      </c>
      <c r="C104" s="11"/>
    </row>
    <row r="105" spans="1:3" ht="16.5">
      <c r="A105" s="11" t="s">
        <v>154</v>
      </c>
      <c r="B105" s="11" t="s">
        <v>167</v>
      </c>
      <c r="C105" s="11"/>
    </row>
    <row r="106" spans="1:3" ht="16.5">
      <c r="A106" s="11" t="s">
        <v>154</v>
      </c>
      <c r="B106" s="11" t="s">
        <v>168</v>
      </c>
      <c r="C106" s="11"/>
    </row>
    <row r="107" spans="1:3" ht="16.5">
      <c r="A107" s="11" t="s">
        <v>154</v>
      </c>
      <c r="B107" s="11" t="s">
        <v>169</v>
      </c>
      <c r="C107" s="11"/>
    </row>
    <row r="108" spans="1:3" ht="16.5">
      <c r="A108" s="11" t="s">
        <v>154</v>
      </c>
      <c r="B108" s="11" t="s">
        <v>170</v>
      </c>
      <c r="C108" s="11"/>
    </row>
    <row r="109" spans="1:3" ht="16.5">
      <c r="A109" s="11" t="s">
        <v>154</v>
      </c>
      <c r="B109" s="11" t="s">
        <v>171</v>
      </c>
      <c r="C109" s="11"/>
    </row>
    <row r="110" spans="1:3" ht="16.5">
      <c r="A110" s="11" t="s">
        <v>154</v>
      </c>
      <c r="B110" s="11" t="s">
        <v>172</v>
      </c>
      <c r="C110" s="11"/>
    </row>
    <row r="111" spans="1:3" ht="16.5">
      <c r="A111" s="11" t="s">
        <v>154</v>
      </c>
      <c r="B111" s="11" t="s">
        <v>173</v>
      </c>
      <c r="C111" s="11"/>
    </row>
    <row r="112" spans="1:3" ht="16.5">
      <c r="A112" s="11" t="s">
        <v>154</v>
      </c>
      <c r="B112" s="11" t="s">
        <v>174</v>
      </c>
      <c r="C112" s="11"/>
    </row>
    <row r="113" spans="1:3" ht="16.5">
      <c r="A113" s="11" t="s">
        <v>154</v>
      </c>
      <c r="B113" s="11" t="s">
        <v>175</v>
      </c>
      <c r="C113" s="11" t="s">
        <v>121</v>
      </c>
    </row>
    <row r="114" spans="1:3" ht="16.5">
      <c r="A114" s="11" t="s">
        <v>154</v>
      </c>
      <c r="B114" s="11" t="s">
        <v>176</v>
      </c>
      <c r="C114" s="11"/>
    </row>
    <row r="115" spans="1:3" ht="16.5">
      <c r="A115" s="11" t="s">
        <v>154</v>
      </c>
      <c r="B115" s="11" t="s">
        <v>177</v>
      </c>
      <c r="C115" s="11"/>
    </row>
    <row r="116" spans="1:3" ht="16.5">
      <c r="A116" s="11" t="s">
        <v>154</v>
      </c>
      <c r="B116" s="11" t="s">
        <v>178</v>
      </c>
      <c r="C116" s="11"/>
    </row>
    <row r="117" spans="1:3" ht="16.5">
      <c r="A117" s="11" t="s">
        <v>154</v>
      </c>
      <c r="B117" s="11" t="s">
        <v>179</v>
      </c>
      <c r="C117" s="11"/>
    </row>
    <row r="118" spans="1:3" ht="16.5">
      <c r="A118" s="11" t="s">
        <v>154</v>
      </c>
      <c r="B118" s="11" t="s">
        <v>180</v>
      </c>
      <c r="C118" s="11"/>
    </row>
    <row r="119" spans="1:3" ht="16.5">
      <c r="A119" s="11" t="s">
        <v>154</v>
      </c>
      <c r="B119" s="11" t="s">
        <v>181</v>
      </c>
      <c r="C119" s="11"/>
    </row>
    <row r="120" spans="1:3" ht="16.5">
      <c r="A120" s="11" t="s">
        <v>154</v>
      </c>
      <c r="B120" s="11" t="s">
        <v>182</v>
      </c>
      <c r="C120" s="11"/>
    </row>
    <row r="121" spans="1:3" ht="16.5">
      <c r="A121" s="11" t="s">
        <v>154</v>
      </c>
      <c r="B121" s="11" t="s">
        <v>183</v>
      </c>
      <c r="C121" s="11"/>
    </row>
    <row r="122" spans="1:3" ht="16.5">
      <c r="A122" s="11" t="s">
        <v>154</v>
      </c>
      <c r="B122" s="11" t="s">
        <v>184</v>
      </c>
      <c r="C122" s="11"/>
    </row>
    <row r="123" spans="1:3" ht="16.5">
      <c r="A123" s="11" t="s">
        <v>154</v>
      </c>
      <c r="B123" s="11" t="s">
        <v>185</v>
      </c>
      <c r="C123" s="11"/>
    </row>
    <row r="124" spans="1:3" ht="16.5">
      <c r="A124" s="11" t="s">
        <v>154</v>
      </c>
      <c r="B124" s="11" t="s">
        <v>186</v>
      </c>
      <c r="C124" s="11"/>
    </row>
    <row r="125" spans="1:3" ht="16.5">
      <c r="A125" s="11" t="s">
        <v>154</v>
      </c>
      <c r="B125" s="11" t="s">
        <v>187</v>
      </c>
      <c r="C125" s="11"/>
    </row>
    <row r="126" spans="1:3" ht="16.5">
      <c r="A126" s="11" t="s">
        <v>154</v>
      </c>
      <c r="B126" s="11" t="s">
        <v>188</v>
      </c>
      <c r="C126" s="11"/>
    </row>
    <row r="127" spans="1:3" ht="16.5">
      <c r="A127" s="11" t="s">
        <v>154</v>
      </c>
      <c r="B127" s="11" t="s">
        <v>189</v>
      </c>
      <c r="C127" s="11"/>
    </row>
    <row r="128" spans="1:3" ht="16.5">
      <c r="A128" s="11" t="s">
        <v>154</v>
      </c>
      <c r="B128" s="11" t="s">
        <v>190</v>
      </c>
      <c r="C128" s="11"/>
    </row>
    <row r="129" spans="1:3" ht="16.5">
      <c r="A129" s="11" t="s">
        <v>154</v>
      </c>
      <c r="B129" s="11" t="s">
        <v>191</v>
      </c>
      <c r="C129" s="11"/>
    </row>
    <row r="130" spans="1:3" ht="16.5">
      <c r="A130" s="12" t="s">
        <v>154</v>
      </c>
      <c r="B130" s="11" t="s">
        <v>192</v>
      </c>
      <c r="C130" s="11"/>
    </row>
    <row r="131" spans="1:3" ht="16.5">
      <c r="A131" s="10" t="s">
        <v>193</v>
      </c>
      <c r="B131" s="10" t="s">
        <v>194</v>
      </c>
      <c r="C131" s="10"/>
    </row>
    <row r="132" spans="1:3" ht="16.5">
      <c r="A132" s="10" t="s">
        <v>193</v>
      </c>
      <c r="B132" s="10" t="s">
        <v>195</v>
      </c>
      <c r="C132" s="10"/>
    </row>
    <row r="133" spans="1:3" ht="16.5">
      <c r="A133" s="10" t="s">
        <v>193</v>
      </c>
      <c r="B133" s="10" t="s">
        <v>196</v>
      </c>
      <c r="C133" s="10" t="s">
        <v>62</v>
      </c>
    </row>
    <row r="134" spans="1:3" ht="16.5">
      <c r="A134" s="10" t="s">
        <v>193</v>
      </c>
      <c r="B134" s="10" t="s">
        <v>197</v>
      </c>
      <c r="C134" s="10"/>
    </row>
    <row r="135" spans="1:3" ht="16.5">
      <c r="A135" s="10" t="s">
        <v>193</v>
      </c>
      <c r="B135" s="10" t="s">
        <v>198</v>
      </c>
      <c r="C135" s="10"/>
    </row>
    <row r="136" spans="1:3" ht="16.5">
      <c r="A136" s="10" t="s">
        <v>193</v>
      </c>
      <c r="B136" s="10" t="s">
        <v>199</v>
      </c>
      <c r="C136" s="10"/>
    </row>
    <row r="137" spans="1:3" ht="16.5">
      <c r="A137" s="10" t="s">
        <v>193</v>
      </c>
      <c r="B137" s="10" t="s">
        <v>200</v>
      </c>
      <c r="C137" s="10"/>
    </row>
    <row r="138" spans="1:3" ht="16.5">
      <c r="A138" s="10" t="s">
        <v>193</v>
      </c>
      <c r="B138" s="10" t="s">
        <v>201</v>
      </c>
      <c r="C138" s="10"/>
    </row>
    <row r="139" spans="1:3" ht="16.5">
      <c r="A139" s="10" t="s">
        <v>193</v>
      </c>
      <c r="B139" s="10" t="s">
        <v>202</v>
      </c>
      <c r="C139" s="10"/>
    </row>
    <row r="140" spans="1:3" ht="16.5">
      <c r="A140" s="10" t="s">
        <v>193</v>
      </c>
      <c r="B140" s="10" t="s">
        <v>203</v>
      </c>
      <c r="C140" s="10" t="s">
        <v>204</v>
      </c>
    </row>
    <row r="141" spans="1:3" ht="16.5">
      <c r="A141" s="10" t="s">
        <v>193</v>
      </c>
      <c r="B141" s="10" t="s">
        <v>205</v>
      </c>
      <c r="C141" s="10"/>
    </row>
    <row r="142" spans="1:3" ht="16.5">
      <c r="A142" s="10" t="s">
        <v>193</v>
      </c>
      <c r="B142" s="10" t="s">
        <v>206</v>
      </c>
      <c r="C142" s="10"/>
    </row>
    <row r="143" spans="1:3" ht="16.5">
      <c r="A143" s="10" t="s">
        <v>193</v>
      </c>
      <c r="B143" s="10" t="s">
        <v>207</v>
      </c>
      <c r="C143" s="10"/>
    </row>
    <row r="144" spans="1:3" ht="16.5">
      <c r="A144" s="13" t="s">
        <v>193</v>
      </c>
      <c r="B144" s="13" t="s">
        <v>208</v>
      </c>
      <c r="C144" s="13"/>
    </row>
    <row r="145" spans="1:3" ht="16.5">
      <c r="A145" s="14" t="s">
        <v>209</v>
      </c>
      <c r="B145" s="14" t="s">
        <v>210</v>
      </c>
      <c r="C145" s="14"/>
    </row>
    <row r="146" spans="1:3" ht="16.5">
      <c r="A146" s="14" t="s">
        <v>209</v>
      </c>
      <c r="B146" s="14" t="s">
        <v>211</v>
      </c>
      <c r="C146" s="14"/>
    </row>
    <row r="147" spans="1:3" ht="16.5">
      <c r="A147" s="14" t="s">
        <v>209</v>
      </c>
      <c r="B147" s="14" t="s">
        <v>212</v>
      </c>
      <c r="C147" s="14"/>
    </row>
    <row r="148" spans="1:3" ht="16.5">
      <c r="A148" s="14" t="s">
        <v>209</v>
      </c>
      <c r="B148" s="14" t="s">
        <v>213</v>
      </c>
      <c r="C148" s="14"/>
    </row>
    <row r="149" spans="1:3" ht="16.5">
      <c r="A149" s="14" t="s">
        <v>209</v>
      </c>
      <c r="B149" s="14" t="s">
        <v>214</v>
      </c>
      <c r="C149" s="14"/>
    </row>
    <row r="150" spans="1:3" ht="16.5">
      <c r="A150" s="14" t="s">
        <v>209</v>
      </c>
      <c r="B150" s="14" t="s">
        <v>215</v>
      </c>
      <c r="C150" s="14"/>
    </row>
    <row r="151" spans="1:3" ht="16.5">
      <c r="A151" s="14" t="s">
        <v>209</v>
      </c>
      <c r="B151" s="14" t="s">
        <v>216</v>
      </c>
      <c r="C151" s="14"/>
    </row>
    <row r="152" spans="1:3" ht="16.5">
      <c r="A152" s="14" t="s">
        <v>209</v>
      </c>
      <c r="B152" s="14" t="s">
        <v>217</v>
      </c>
      <c r="C152" s="14"/>
    </row>
    <row r="153" spans="1:3" ht="16.5">
      <c r="A153" s="14" t="s">
        <v>209</v>
      </c>
      <c r="B153" s="14" t="s">
        <v>218</v>
      </c>
      <c r="C153" s="14"/>
    </row>
    <row r="154" spans="1:3" ht="16.5">
      <c r="A154" s="14" t="s">
        <v>209</v>
      </c>
      <c r="B154" s="14" t="s">
        <v>219</v>
      </c>
      <c r="C154" s="14"/>
    </row>
    <row r="155" spans="1:3" ht="16.5">
      <c r="A155" s="14" t="s">
        <v>209</v>
      </c>
      <c r="B155" s="14" t="s">
        <v>220</v>
      </c>
      <c r="C155" s="14"/>
    </row>
    <row r="156" spans="1:3" ht="16.5">
      <c r="A156" s="14" t="s">
        <v>209</v>
      </c>
      <c r="B156" s="14" t="s">
        <v>221</v>
      </c>
      <c r="C156" s="14"/>
    </row>
    <row r="157" spans="1:3" ht="16.5">
      <c r="A157" s="14" t="s">
        <v>209</v>
      </c>
      <c r="B157" s="14" t="s">
        <v>222</v>
      </c>
      <c r="C157" s="14"/>
    </row>
    <row r="158" spans="1:3" ht="16.5">
      <c r="A158" s="14" t="s">
        <v>209</v>
      </c>
      <c r="B158" s="14" t="s">
        <v>223</v>
      </c>
      <c r="C158" s="14"/>
    </row>
    <row r="159" spans="1:3" ht="16.5">
      <c r="A159" s="14" t="s">
        <v>209</v>
      </c>
      <c r="B159" s="14" t="s">
        <v>224</v>
      </c>
      <c r="C159" s="14"/>
    </row>
    <row r="160" spans="1:3" ht="16.5">
      <c r="A160" s="15" t="s">
        <v>30</v>
      </c>
      <c r="B160" s="10" t="s">
        <v>225</v>
      </c>
      <c r="C160" s="10"/>
    </row>
    <row r="161" spans="1:3" ht="16.5">
      <c r="A161" s="15" t="s">
        <v>30</v>
      </c>
      <c r="B161" s="10" t="s">
        <v>226</v>
      </c>
      <c r="C161" s="10"/>
    </row>
    <row r="162" spans="1:3" ht="16.5">
      <c r="A162" s="15" t="s">
        <v>30</v>
      </c>
      <c r="B162" s="10" t="s">
        <v>227</v>
      </c>
      <c r="C162" s="10"/>
    </row>
    <row r="163" spans="1:3" ht="16.5">
      <c r="A163" s="15" t="s">
        <v>30</v>
      </c>
      <c r="B163" s="10" t="s">
        <v>228</v>
      </c>
      <c r="C163" s="10"/>
    </row>
    <row r="164" spans="1:3" ht="16.5">
      <c r="A164" s="15" t="s">
        <v>30</v>
      </c>
      <c r="B164" s="10" t="s">
        <v>229</v>
      </c>
      <c r="C164" s="10"/>
    </row>
  </sheetData>
  <autoFilter ref="A1:B1" xr:uid="{03CC7CF5-EFB4-4DA6-8DB5-82959DF43CDB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BF04CEA1302844B8519D2D294A3BE8" ma:contentTypeVersion="14" ma:contentTypeDescription="Create a new document." ma:contentTypeScope="" ma:versionID="011017bed192b05e47a1ad73019a487a">
  <xsd:schema xmlns:xsd="http://www.w3.org/2001/XMLSchema" xmlns:xs="http://www.w3.org/2001/XMLSchema" xmlns:p="http://schemas.microsoft.com/office/2006/metadata/properties" xmlns:ns2="4d11286c-14a7-4966-98ca-64bedb46202e" xmlns:ns3="1a5b9160-f0ce-4dc9-8d66-d04030c38416" targetNamespace="http://schemas.microsoft.com/office/2006/metadata/properties" ma:root="true" ma:fieldsID="96af616972afdc0011c5994c754f78e1" ns2:_="" ns3:_="">
    <xsd:import namespace="4d11286c-14a7-4966-98ca-64bedb46202e"/>
    <xsd:import namespace="1a5b9160-f0ce-4dc9-8d66-d04030c384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1286c-14a7-4966-98ca-64bedb4620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f0b306-5c8f-44a5-9de7-bb42e716f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5b9160-f0ce-4dc9-8d66-d04030c38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7c61830-5ddd-4648-9d9d-eaf14e606b76}" ma:internalName="TaxCatchAll" ma:showField="CatchAllData" ma:web="1a5b9160-f0ce-4dc9-8d66-d04030c384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11286c-14a7-4966-98ca-64bedb46202e">
      <Terms xmlns="http://schemas.microsoft.com/office/infopath/2007/PartnerControls"/>
    </lcf76f155ced4ddcb4097134ff3c332f>
    <TaxCatchAll xmlns="1a5b9160-f0ce-4dc9-8d66-d04030c384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099A34-6BB8-405F-8BE4-C581A9797C45}"/>
</file>

<file path=customXml/itemProps2.xml><?xml version="1.0" encoding="utf-8"?>
<ds:datastoreItem xmlns:ds="http://schemas.openxmlformats.org/officeDocument/2006/customXml" ds:itemID="{F150A59A-D864-4F34-B36D-1792DED4D6EC}">
  <ds:schemaRefs>
    <ds:schemaRef ds:uri="http://schemas.microsoft.com/office/2006/metadata/properties"/>
    <ds:schemaRef ds:uri="http://schemas.microsoft.com/office/infopath/2007/PartnerControls"/>
    <ds:schemaRef ds:uri="4d11286c-14a7-4966-98ca-64bedb46202e"/>
    <ds:schemaRef ds:uri="1a5b9160-f0ce-4dc9-8d66-d04030c38416"/>
  </ds:schemaRefs>
</ds:datastoreItem>
</file>

<file path=customXml/itemProps3.xml><?xml version="1.0" encoding="utf-8"?>
<ds:datastoreItem xmlns:ds="http://schemas.openxmlformats.org/officeDocument/2006/customXml" ds:itemID="{8EE6AF6F-465F-46CC-8A07-F7E064952E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 Function Group</vt:lpstr>
      <vt:lpstr>Maintenance VS Roadmap</vt:lpstr>
      <vt:lpstr>Team Members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Zoe Zhang</dc:creator>
  <cp:keywords/>
  <dc:description/>
  <cp:lastModifiedBy>Dazhu Tang</cp:lastModifiedBy>
  <cp:revision/>
  <dcterms:created xsi:type="dcterms:W3CDTF">2015-06-05T18:17:20Z</dcterms:created>
  <dcterms:modified xsi:type="dcterms:W3CDTF">2025-05-23T02:19:04Z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0x01010050BF04CEA1302844B8519D2D294A3BE8</vt:lpwstr>
  </property>
  <property fmtid="{D5CDD505-2E9C-101B-9397-08002B2CF9AE}" pid="3" name="MediaServiceImageTags">
    <vt:lpwstr/>
  </property>
  <property fmtid="{D5CDD505-2E9C-101B-9397-08002B2CF9AE}" pid="4" name="MSIP_Label_b23eb61a-fd83-4407-9f6a-71e8749d46c1_Enabled">
    <vt:lpwstr>true</vt:lpwstr>
  </property>
  <property fmtid="{D5CDD505-2E9C-101B-9397-08002B2CF9AE}" pid="5" name="MSIP_Label_b23eb61a-fd83-4407-9f6a-71e8749d46c1_SetDate">
    <vt:lpwstr>2025-05-23T02:19:04Z</vt:lpwstr>
  </property>
  <property fmtid="{D5CDD505-2E9C-101B-9397-08002B2CF9AE}" pid="6" name="MSIP_Label_b23eb61a-fd83-4407-9f6a-71e8749d46c1_Method">
    <vt:lpwstr>Standard</vt:lpwstr>
  </property>
  <property fmtid="{D5CDD505-2E9C-101B-9397-08002B2CF9AE}" pid="7" name="MSIP_Label_b23eb61a-fd83-4407-9f6a-71e8749d46c1_Name">
    <vt:lpwstr>通用</vt:lpwstr>
  </property>
  <property fmtid="{D5CDD505-2E9C-101B-9397-08002B2CF9AE}" pid="8" name="MSIP_Label_b23eb61a-fd83-4407-9f6a-71e8749d46c1_SiteId">
    <vt:lpwstr>2151c7d1-a2f9-4fdb-9325-4d1ad1633565</vt:lpwstr>
  </property>
  <property fmtid="{D5CDD505-2E9C-101B-9397-08002B2CF9AE}" pid="9" name="MSIP_Label_b23eb61a-fd83-4407-9f6a-71e8749d46c1_ActionId">
    <vt:lpwstr>ca3dcc2f-7a23-49fa-8ea6-abdd35b2fc96</vt:lpwstr>
  </property>
  <property fmtid="{D5CDD505-2E9C-101B-9397-08002B2CF9AE}" pid="10" name="MSIP_Label_b23eb61a-fd83-4407-9f6a-71e8749d46c1_ContentBits">
    <vt:lpwstr>0</vt:lpwstr>
  </property>
  <property fmtid="{D5CDD505-2E9C-101B-9397-08002B2CF9AE}" pid="11" name="MSIP_Label_b23eb61a-fd83-4407-9f6a-71e8749d46c1_Tag">
    <vt:lpwstr>10, 3, 0, 1</vt:lpwstr>
  </property>
</Properties>
</file>